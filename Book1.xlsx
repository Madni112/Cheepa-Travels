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qr code voucher\"/>
    </mc:Choice>
  </mc:AlternateContent>
  <xr:revisionPtr revIDLastSave="0" documentId="8_{D40680CB-E30A-4158-AD02-046471A49ED9}" xr6:coauthVersionLast="47" xr6:coauthVersionMax="47" xr10:uidLastSave="{00000000-0000-0000-0000-000000000000}"/>
  <bookViews>
    <workbookView xWindow="-120" yWindow="-120" windowWidth="24240" windowHeight="13020" firstSheet="1" activeTab="1" xr2:uid="{32161B24-3CEB-4CF5-B61B-A90FC9634CA6}"/>
  </bookViews>
  <sheets>
    <sheet name="Sheet1" sheetId="1" state="hidden" r:id="rId1"/>
    <sheet name="ABDUL KARIM (1ST OCT)" sheetId="2" r:id="rId2"/>
    <sheet name="Tahir Begum" sheetId="3" r:id="rId3"/>
    <sheet name="Tahir Begum (2)" sheetId="4" r:id="rId4"/>
    <sheet name="Tahir Begum (3)" sheetId="5" r:id="rId5"/>
    <sheet name="Tahir Begum (4)" sheetId="6" r:id="rId6"/>
    <sheet name="Tahir Begum (5)" sheetId="7" r:id="rId7"/>
    <sheet name="Tahir Begum (6)" sheetId="8" r:id="rId8"/>
    <sheet name="Tahir Begum (7)" sheetId="9" r:id="rId9"/>
    <sheet name="Tahir Begum (8)" sheetId="10" r:id="rId10"/>
    <sheet name="Tahir Begum (9)" sheetId="11" r:id="rId11"/>
    <sheet name="Tahir Begum (10)" sheetId="12" r:id="rId12"/>
    <sheet name="Tahir Begum (11)" sheetId="13" r:id="rId13"/>
  </sheets>
  <definedNames>
    <definedName name="_xlnm.Print_Area" localSheetId="1">'ABDUL KARIM (1ST OCT)'!$C$2:$K$40</definedName>
    <definedName name="_xlnm.Print_Area" localSheetId="2">'Tahir Begum'!$C$2:$K$39</definedName>
    <definedName name="_xlnm.Print_Area" localSheetId="11">'Tahir Begum (10)'!$C$2:$K$43</definedName>
    <definedName name="_xlnm.Print_Area" localSheetId="12">'Tahir Begum (11)'!$C$2:$K$39</definedName>
    <definedName name="_xlnm.Print_Area" localSheetId="3">'Tahir Begum (2)'!$C$2:$K$39</definedName>
    <definedName name="_xlnm.Print_Area" localSheetId="4">'Tahir Begum (3)'!$C$2:$K$40</definedName>
    <definedName name="_xlnm.Print_Area" localSheetId="5">'Tahir Begum (4)'!$C$2:$K$40</definedName>
    <definedName name="_xlnm.Print_Area" localSheetId="6">'Tahir Begum (5)'!$C$2:$K$41</definedName>
    <definedName name="_xlnm.Print_Area" localSheetId="7">'Tahir Begum (6)'!$C$2:$K$40</definedName>
    <definedName name="_xlnm.Print_Area" localSheetId="8">'Tahir Begum (7)'!$C$2:$K$39</definedName>
    <definedName name="_xlnm.Print_Area" localSheetId="9">'Tahir Begum (8)'!$C$2:$K$40</definedName>
    <definedName name="_xlnm.Print_Area" localSheetId="10">'Tahir Begum (9)'!$C$2:$K$43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3" l="1"/>
  <c r="K18" i="13"/>
  <c r="K20" i="13"/>
  <c r="F22" i="13"/>
  <c r="K22" i="13"/>
  <c r="K23" i="13"/>
  <c r="E10" i="12"/>
  <c r="K22" i="12"/>
  <c r="K24" i="12"/>
  <c r="F26" i="12"/>
  <c r="K26" i="12"/>
  <c r="K27" i="12"/>
  <c r="E10" i="11"/>
  <c r="K22" i="11"/>
  <c r="K24" i="11"/>
  <c r="F26" i="11"/>
  <c r="K26" i="11"/>
  <c r="K27" i="11"/>
  <c r="E10" i="10"/>
  <c r="K19" i="10"/>
  <c r="K21" i="10"/>
  <c r="F23" i="10"/>
  <c r="K23" i="10"/>
  <c r="K24" i="10"/>
  <c r="E10" i="9"/>
  <c r="K18" i="9"/>
  <c r="K20" i="9"/>
  <c r="F22" i="9"/>
  <c r="K22" i="9"/>
  <c r="K23" i="9" s="1"/>
  <c r="E10" i="8"/>
  <c r="K19" i="8"/>
  <c r="K21" i="8"/>
  <c r="F23" i="8"/>
  <c r="K23" i="8"/>
  <c r="K24" i="8"/>
  <c r="E10" i="7"/>
  <c r="K20" i="7"/>
  <c r="K22" i="7"/>
  <c r="F24" i="7"/>
  <c r="K24" i="7"/>
  <c r="K25" i="7"/>
  <c r="E10" i="6"/>
  <c r="K19" i="6"/>
  <c r="K21" i="6"/>
  <c r="F23" i="6"/>
  <c r="K23" i="6"/>
  <c r="K24" i="6" s="1"/>
  <c r="E10" i="5"/>
  <c r="K19" i="5"/>
  <c r="K21" i="5"/>
  <c r="F23" i="5"/>
  <c r="K23" i="5"/>
  <c r="K24" i="5"/>
  <c r="E10" i="4"/>
  <c r="K18" i="4"/>
  <c r="K20" i="4"/>
  <c r="F22" i="4"/>
  <c r="K22" i="4"/>
  <c r="K23" i="4" s="1"/>
  <c r="E10" i="3"/>
  <c r="K18" i="3"/>
  <c r="K20" i="3"/>
  <c r="K23" i="3" s="1"/>
  <c r="F22" i="3"/>
  <c r="K22" i="3"/>
  <c r="E10" i="2"/>
  <c r="K19" i="2"/>
  <c r="K21" i="2"/>
  <c r="F23" i="2"/>
  <c r="G23" i="2"/>
  <c r="K23" i="2"/>
  <c r="K24" i="2"/>
</calcChain>
</file>

<file path=xl/sharedStrings.xml><?xml version="1.0" encoding="utf-8"?>
<sst xmlns="http://schemas.openxmlformats.org/spreadsheetml/2006/main" count="833" uniqueCount="128">
  <si>
    <t>+966 50 627 7492</t>
  </si>
  <si>
    <t>FOR EMERGENCY CONTACT NO.</t>
  </si>
  <si>
    <t>KHI</t>
  </si>
  <si>
    <t>JED</t>
  </si>
  <si>
    <t>F3-829</t>
  </si>
  <si>
    <t>F3-830</t>
  </si>
  <si>
    <t>ARRIVAL</t>
  </si>
  <si>
    <t>DEPARTURE</t>
  </si>
  <si>
    <t>TO</t>
  </si>
  <si>
    <t>FROM</t>
  </si>
  <si>
    <t>FLIGHT</t>
  </si>
  <si>
    <t>DATE</t>
  </si>
  <si>
    <t>PNR</t>
  </si>
  <si>
    <t>FLIGHT DETAILS</t>
  </si>
  <si>
    <t>BUS</t>
  </si>
  <si>
    <t>MAKKAH HOTEL TO JED AIRPORT</t>
  </si>
  <si>
    <t>MADINAH HOTEL TO MAKKAH HOTEL</t>
  </si>
  <si>
    <t>MAKKAH HOTEL TO MADINAH HOTEL</t>
  </si>
  <si>
    <t>JED AIRPORT TO MAKKAH HOTEL</t>
  </si>
  <si>
    <t>BOOKING REF. NO.</t>
  </si>
  <si>
    <t>CONTACT PERSON</t>
  </si>
  <si>
    <t>PICK-UP DATE</t>
  </si>
  <si>
    <t>VECHILE</t>
  </si>
  <si>
    <t>SERVICE</t>
  </si>
  <si>
    <t>TN#</t>
  </si>
  <si>
    <t>S#</t>
  </si>
  <si>
    <t>TRANSPORT DETAILS</t>
  </si>
  <si>
    <t>NOTE : CHECK-IN TIME : 16:00 HRS &amp; CHECK-OUT TIME : 12:00 NOON.</t>
  </si>
  <si>
    <t>TOTAL</t>
  </si>
  <si>
    <t>MAKKAH</t>
  </si>
  <si>
    <t>DOUBLE</t>
  </si>
  <si>
    <t>WISSAM INTERNATIONAL</t>
  </si>
  <si>
    <t>MADINAH</t>
  </si>
  <si>
    <t>MASARAT SILVER / Similar</t>
  </si>
  <si>
    <t>NIGHTS</t>
  </si>
  <si>
    <t>CHECK OUT</t>
  </si>
  <si>
    <t>CHECK IN</t>
  </si>
  <si>
    <t>ROOM TYPE</t>
  </si>
  <si>
    <t>HOTEL NAME(S)</t>
  </si>
  <si>
    <t>HN#</t>
  </si>
  <si>
    <t>CITY</t>
  </si>
  <si>
    <t>ACCOMMODATION DETAILS</t>
  </si>
  <si>
    <t>TOTAL PAX : 2</t>
  </si>
  <si>
    <t>GENT(S):1 LAD(IES):1 CHILD(REN): 0 INFANT(S):0</t>
  </si>
  <si>
    <t>SQ3993001</t>
  </si>
  <si>
    <t>ABIDA PARVEEN</t>
  </si>
  <si>
    <t>HR0004331</t>
  </si>
  <si>
    <t>ABDUL KARIM</t>
  </si>
  <si>
    <t>VISA NO.</t>
  </si>
  <si>
    <t>GROUP</t>
  </si>
  <si>
    <t>PASSPORT NO.</t>
  </si>
  <si>
    <t>PAX NAME(S)</t>
  </si>
  <si>
    <t>EXECUTIVE:ADMIN</t>
  </si>
  <si>
    <t>PARTY:</t>
  </si>
  <si>
    <t>HOTEL VOUCHER#</t>
  </si>
  <si>
    <t>SAUDI UMRAH COMPANY</t>
  </si>
  <si>
    <t>UMRAH PACKAGE VOUCHER</t>
  </si>
  <si>
    <t>Mob : UBAID RAZA +92-311-2264567 / +92-348-3138424</t>
  </si>
  <si>
    <t>NOOR E HARAM TRAVEL &amp; TOURS</t>
  </si>
  <si>
    <t>S</t>
  </si>
  <si>
    <t>SHARING (GENDER)</t>
  </si>
  <si>
    <t>DAR SALAM</t>
  </si>
  <si>
    <t>MASARAT SILVER</t>
  </si>
  <si>
    <t>TOTAL PAX : 1</t>
  </si>
  <si>
    <t>GENT(S):0 LAD(IES):1 CHILD(REN): 0 INFANT(S):0</t>
  </si>
  <si>
    <t>SV3956882</t>
  </si>
  <si>
    <t>TAHIRA BEGUM/MRS</t>
  </si>
  <si>
    <t>LK6892563</t>
  </si>
  <si>
    <t>JAMILA BEGUM/MRS</t>
  </si>
  <si>
    <t>JR5192582</t>
  </si>
  <si>
    <t>RUKHSANA SHAIKH/mrs</t>
  </si>
  <si>
    <t>KD5192192</t>
  </si>
  <si>
    <t>Muhammad Nasir Shaikh/mr</t>
  </si>
  <si>
    <t>BV1422591</t>
  </si>
  <si>
    <t>SUGHRAN IDREES/MRS</t>
  </si>
  <si>
    <t>CC1424441</t>
  </si>
  <si>
    <t>MUHAMMAD IDREES /MR</t>
  </si>
  <si>
    <t>TOTAL PAX : 3</t>
  </si>
  <si>
    <t>GENT(S):2 LAD(IES):1 CHILD(REN): 0 INFANT(S):0</t>
  </si>
  <si>
    <t>XT4160961</t>
  </si>
  <si>
    <t>RASHID KHAN/MR</t>
  </si>
  <si>
    <t>KV9890072</t>
  </si>
  <si>
    <t>SAIMA NAZ/MRS</t>
  </si>
  <si>
    <t>CE2400921</t>
  </si>
  <si>
    <t>IKRAM UDDIN/MR</t>
  </si>
  <si>
    <t>AB9343433</t>
  </si>
  <si>
    <t>RUKHSANA MUHAMMAD NAEEM/MRS</t>
  </si>
  <si>
    <t>AP6319033</t>
  </si>
  <si>
    <t>MUHAMMAD WAQAS /MR</t>
  </si>
  <si>
    <t>GENT(S):1 LAD(IES):0 CHILD(REN): 0 INFANT(S):0</t>
  </si>
  <si>
    <t>GL1759001</t>
  </si>
  <si>
    <t>MANZAR ALAM</t>
  </si>
  <si>
    <t>ZU1858491</t>
  </si>
  <si>
    <t>FOZIA ALVI</t>
  </si>
  <si>
    <t>UW1336842</t>
  </si>
  <si>
    <t xml:space="preserve">ZAFAR IQBAL </t>
  </si>
  <si>
    <t>QUAD</t>
  </si>
  <si>
    <t>TOTAL PAX : 5</t>
  </si>
  <si>
    <t>GENT(S):2 LAD(IES):2 CHILD(REN): 0 INFANT(S):1</t>
  </si>
  <si>
    <t>SM9822731</t>
  </si>
  <si>
    <t>UMAIMA NASEER/MISS</t>
  </si>
  <si>
    <t>BB5493913</t>
  </si>
  <si>
    <t>SADIA ABDUL KARIM CHANDIO/MRS</t>
  </si>
  <si>
    <t>CM189721</t>
  </si>
  <si>
    <t>ASHFAQUE AHMED/MR</t>
  </si>
  <si>
    <t>RD4148692</t>
  </si>
  <si>
    <t>AASIA CHANDIO/MRS</t>
  </si>
  <si>
    <t>ST1154643</t>
  </si>
  <si>
    <t>NASEER AHMED/MR</t>
  </si>
  <si>
    <t>QUINT</t>
  </si>
  <si>
    <t>LULU TOHEED</t>
  </si>
  <si>
    <t>HCN#</t>
  </si>
  <si>
    <t>GENT(S):5 LAD(IES):0 CHILD(REN): 0 INFANT(S):0</t>
  </si>
  <si>
    <t>KS5198162</t>
  </si>
  <si>
    <t>DANIYAL AHMED SHAIKH/MR</t>
  </si>
  <si>
    <t>CW3922011</t>
  </si>
  <si>
    <t>MUHAMMAD YOUSUF BAIG/MR</t>
  </si>
  <si>
    <t>SM5191091</t>
  </si>
  <si>
    <t>FAREED AHMED SHAIKH/MR</t>
  </si>
  <si>
    <t>BA3172282</t>
  </si>
  <si>
    <t>MUHAMMAD ASIF BHATTI/MR</t>
  </si>
  <si>
    <t>VC4163011</t>
  </si>
  <si>
    <t>MUHAMMAD ASIF/MR</t>
  </si>
  <si>
    <t>SHARING</t>
  </si>
  <si>
    <t>DIYAR HIJAZ</t>
  </si>
  <si>
    <t>DURRAT UL AKHYAR</t>
  </si>
  <si>
    <t>ZM4160541</t>
  </si>
  <si>
    <t>SAFWAN ALI KHAN/MR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</si>
</sst>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3"/>
      <name val="Arial"/>
      <family val="2"/>
    </font>
    <font>
      <b/>
      <sz val="12"/>
      <color rgb="FF000000"/>
      <name val="Arial"/>
      <family val="2"/>
    </font>
    <font>
      <sz val="14"/>
      <color theme="1"/>
      <name val="Arial"/>
      <family val="2"/>
    </font>
    <font>
      <b/>
      <sz val="14"/>
      <name val="Arial"/>
      <family val="2"/>
    </font>
    <font>
      <b/>
      <sz val="13"/>
      <color rgb="FF000000"/>
      <name val="Arial"/>
      <family val="2"/>
    </font>
    <font>
      <b/>
      <sz val="13"/>
      <name val="Arial"/>
      <family val="2"/>
    </font>
    <font>
      <sz val="9"/>
      <name val="Arial"/>
      <family val="2"/>
    </font>
    <font>
      <sz val="13"/>
      <color theme="1"/>
      <name val="Arial"/>
      <family val="2"/>
    </font>
    <font>
      <b/>
      <sz val="11"/>
      <color theme="1"/>
      <name val="Arial"/>
      <family val="2"/>
    </font>
    <font>
      <b/>
      <u/>
      <sz val="12"/>
      <name val="Arial"/>
      <family val="2"/>
    </font>
    <font>
      <b/>
      <u/>
      <sz val="14"/>
      <name val="Arial"/>
      <family val="2"/>
    </font>
    <font>
      <b/>
      <sz val="11"/>
      <color theme="0" tint="-0.499984740745262"/>
      <name val="Arial"/>
      <family val="2"/>
    </font>
    <font>
      <sz val="22"/>
      <color theme="1"/>
      <name val="Arial"/>
      <family val="2"/>
    </font>
    <font>
      <b/>
      <sz val="22"/>
      <color rgb="FF00206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</fills>
  <borders count="8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rgb="FFD9D9D9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center"/>
    </xf>
    <xf numFmtId="0" fontId="3" fillId="0" borderId="0" xfId="0" applyFont="1"/>
    <xf numFmtId="0" fontId="3" fillId="2" borderId="0" xfId="0" applyFont="1" applyFill="1"/>
    <xf numFmtId="16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6" fontId="4" fillId="0" borderId="1" xfId="0" applyNumberFormat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7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15" fontId="4" fillId="0" borderId="4" xfId="0" applyNumberFormat="1" applyFont="1" applyBorder="1" applyAlignment="1">
      <alignment horizontal="center" vertical="center" wrapText="1"/>
    </xf>
    <xf numFmtId="15" fontId="4" fillId="0" borderId="3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/>
    </xf>
    <xf numFmtId="0" fontId="3" fillId="0" borderId="0" xfId="0" applyFont="1" applyAlignment="1">
      <alignment horizontal="left" vertical="center" wrapText="1"/>
    </xf>
    <xf numFmtId="0" fontId="1" fillId="0" borderId="0" xfId="0" applyFont="1"/>
    <xf numFmtId="0" fontId="3" fillId="0" borderId="0" xfId="0" applyFont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right" vertical="center" wrapText="1"/>
    </xf>
    <xf numFmtId="0" fontId="10" fillId="0" borderId="4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15" fontId="4" fillId="0" borderId="1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1" fillId="0" borderId="1" xfId="0" applyFont="1" applyBorder="1"/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4" fillId="0" borderId="2" xfId="0" applyFont="1" applyBorder="1"/>
    <xf numFmtId="0" fontId="4" fillId="0" borderId="3" xfId="0" applyFont="1" applyBorder="1"/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2" xfId="0" applyFont="1" applyBorder="1"/>
    <xf numFmtId="0" fontId="4" fillId="0" borderId="3" xfId="0" applyFont="1" applyBorder="1"/>
    <xf numFmtId="0" fontId="5" fillId="2" borderId="2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vertical="center"/>
    </xf>
    <xf numFmtId="0" fontId="10" fillId="0" borderId="0" xfId="0" applyFont="1"/>
    <xf numFmtId="0" fontId="2" fillId="0" borderId="0" xfId="0" applyFont="1"/>
    <xf numFmtId="0" fontId="1" fillId="0" borderId="5" xfId="0" applyFont="1" applyBorder="1"/>
    <xf numFmtId="0" fontId="10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right" vertical="center"/>
    </xf>
    <xf numFmtId="0" fontId="1" fillId="0" borderId="5" xfId="0" applyFont="1" applyBorder="1"/>
    <xf numFmtId="0" fontId="12" fillId="0" borderId="5" xfId="0" applyFont="1" applyBorder="1"/>
    <xf numFmtId="0" fontId="3" fillId="0" borderId="0" xfId="0" applyFont="1" applyAlignment="1">
      <alignment horizontal="center"/>
    </xf>
    <xf numFmtId="0" fontId="2" fillId="0" borderId="0" xfId="0" applyFont="1"/>
    <xf numFmtId="0" fontId="13" fillId="0" borderId="0" xfId="0" applyFont="1" applyAlignment="1">
      <alignment horizontal="center" vertical="center" wrapText="1"/>
    </xf>
    <xf numFmtId="0" fontId="6" fillId="0" borderId="6" xfId="0" applyFont="1" applyBorder="1"/>
    <xf numFmtId="0" fontId="14" fillId="0" borderId="6" xfId="0" applyFont="1" applyBorder="1" applyAlignment="1">
      <alignment horizontal="center" vertical="center" wrapText="1"/>
    </xf>
    <xf numFmtId="0" fontId="15" fillId="0" borderId="0" xfId="0" applyFont="1"/>
    <xf numFmtId="0" fontId="15" fillId="0" borderId="0" xfId="0" applyFont="1" applyAlignment="1">
      <alignment horizontal="center" vertical="center" wrapText="1"/>
    </xf>
    <xf numFmtId="0" fontId="16" fillId="0" borderId="0" xfId="0" applyFont="1"/>
    <xf numFmtId="0" fontId="17" fillId="0" borderId="0" xfId="0" applyFont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209549</xdr:colOff>
      <xdr:row>0</xdr:row>
      <xdr:rowOff>0</xdr:rowOff>
    </xdr:from>
    <xdr:ext cx="1661826" cy="1829397"/>
    <xdr:pic>
      <xdr:nvPicPr>
        <xdr:cNvPr id="2" name="Picture 1">
          <a:extLst>
            <a:ext uri="{FF2B5EF4-FFF2-40B4-BE49-F238E27FC236}">
              <a16:creationId xmlns:a16="http://schemas.microsoft.com/office/drawing/2014/main" id="{8A34EE2D-0AC3-4CA7-827C-AD84843EE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49" y="0"/>
          <a:ext cx="1661826" cy="182939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209549</xdr:colOff>
      <xdr:row>0</xdr:row>
      <xdr:rowOff>0</xdr:rowOff>
    </xdr:from>
    <xdr:ext cx="1661826" cy="1829397"/>
    <xdr:pic>
      <xdr:nvPicPr>
        <xdr:cNvPr id="2" name="Picture 1">
          <a:extLst>
            <a:ext uri="{FF2B5EF4-FFF2-40B4-BE49-F238E27FC236}">
              <a16:creationId xmlns:a16="http://schemas.microsoft.com/office/drawing/2014/main" id="{BAD7BA81-43FF-4FCE-87D8-6B21AAEE2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49" y="0"/>
          <a:ext cx="1661826" cy="182939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209549</xdr:colOff>
      <xdr:row>0</xdr:row>
      <xdr:rowOff>0</xdr:rowOff>
    </xdr:from>
    <xdr:ext cx="1661602" cy="1805043"/>
    <xdr:pic>
      <xdr:nvPicPr>
        <xdr:cNvPr id="2" name="Picture 1">
          <a:extLst>
            <a:ext uri="{FF2B5EF4-FFF2-40B4-BE49-F238E27FC236}">
              <a16:creationId xmlns:a16="http://schemas.microsoft.com/office/drawing/2014/main" id="{639AF875-0EE2-424A-B535-917831E8F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49" y="0"/>
          <a:ext cx="1661602" cy="1805043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209549</xdr:colOff>
      <xdr:row>0</xdr:row>
      <xdr:rowOff>0</xdr:rowOff>
    </xdr:from>
    <xdr:ext cx="1661602" cy="1805043"/>
    <xdr:pic>
      <xdr:nvPicPr>
        <xdr:cNvPr id="2" name="Picture 1">
          <a:extLst>
            <a:ext uri="{FF2B5EF4-FFF2-40B4-BE49-F238E27FC236}">
              <a16:creationId xmlns:a16="http://schemas.microsoft.com/office/drawing/2014/main" id="{03D7632B-60B3-44B1-9E02-C1EF7BD8E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49" y="0"/>
          <a:ext cx="1661602" cy="1805043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209549</xdr:colOff>
      <xdr:row>0</xdr:row>
      <xdr:rowOff>0</xdr:rowOff>
    </xdr:from>
    <xdr:ext cx="1661602" cy="1805043"/>
    <xdr:pic>
      <xdr:nvPicPr>
        <xdr:cNvPr id="2" name="Picture 1">
          <a:extLst>
            <a:ext uri="{FF2B5EF4-FFF2-40B4-BE49-F238E27FC236}">
              <a16:creationId xmlns:a16="http://schemas.microsoft.com/office/drawing/2014/main" id="{F40E1267-AB9B-409B-BEFC-5D98CF982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49" y="0"/>
          <a:ext cx="1661602" cy="1805043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209549</xdr:colOff>
      <xdr:row>0</xdr:row>
      <xdr:rowOff>0</xdr:rowOff>
    </xdr:from>
    <xdr:ext cx="1661602" cy="1805043"/>
    <xdr:pic>
      <xdr:nvPicPr>
        <xdr:cNvPr id="2" name="Picture 1">
          <a:extLst>
            <a:ext uri="{FF2B5EF4-FFF2-40B4-BE49-F238E27FC236}">
              <a16:creationId xmlns:a16="http://schemas.microsoft.com/office/drawing/2014/main" id="{6A1D0E2E-9048-41FF-A0E0-5E87B0166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49" y="0"/>
          <a:ext cx="1661602" cy="1805043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209549</xdr:colOff>
      <xdr:row>0</xdr:row>
      <xdr:rowOff>0</xdr:rowOff>
    </xdr:from>
    <xdr:ext cx="1661602" cy="1805043"/>
    <xdr:pic>
      <xdr:nvPicPr>
        <xdr:cNvPr id="2" name="Picture 1">
          <a:extLst>
            <a:ext uri="{FF2B5EF4-FFF2-40B4-BE49-F238E27FC236}">
              <a16:creationId xmlns:a16="http://schemas.microsoft.com/office/drawing/2014/main" id="{E54A8F0A-E4AC-40C1-8FCE-263A90D09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49" y="0"/>
          <a:ext cx="1661602" cy="1805043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209549</xdr:colOff>
      <xdr:row>0</xdr:row>
      <xdr:rowOff>0</xdr:rowOff>
    </xdr:from>
    <xdr:ext cx="1661602" cy="1805043"/>
    <xdr:pic>
      <xdr:nvPicPr>
        <xdr:cNvPr id="2" name="Picture 1">
          <a:extLst>
            <a:ext uri="{FF2B5EF4-FFF2-40B4-BE49-F238E27FC236}">
              <a16:creationId xmlns:a16="http://schemas.microsoft.com/office/drawing/2014/main" id="{35B8155C-A8D6-423A-8DBC-3FD708FFE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49" y="0"/>
          <a:ext cx="1661602" cy="1805043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209549</xdr:colOff>
      <xdr:row>0</xdr:row>
      <xdr:rowOff>0</xdr:rowOff>
    </xdr:from>
    <xdr:ext cx="1661602" cy="1805043"/>
    <xdr:pic>
      <xdr:nvPicPr>
        <xdr:cNvPr id="2" name="Picture 1">
          <a:extLst>
            <a:ext uri="{FF2B5EF4-FFF2-40B4-BE49-F238E27FC236}">
              <a16:creationId xmlns:a16="http://schemas.microsoft.com/office/drawing/2014/main" id="{92CF3F41-9564-4AA2-B50F-3F7F54E74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49" y="0"/>
          <a:ext cx="1661602" cy="1805043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209549</xdr:colOff>
      <xdr:row>0</xdr:row>
      <xdr:rowOff>0</xdr:rowOff>
    </xdr:from>
    <xdr:ext cx="1661602" cy="1805043"/>
    <xdr:pic>
      <xdr:nvPicPr>
        <xdr:cNvPr id="2" name="Picture 1">
          <a:extLst>
            <a:ext uri="{FF2B5EF4-FFF2-40B4-BE49-F238E27FC236}">
              <a16:creationId xmlns:a16="http://schemas.microsoft.com/office/drawing/2014/main" id="{07E5841E-92AD-4A70-8A97-50E5EAE914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49" y="0"/>
          <a:ext cx="1661602" cy="1805043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209549</xdr:colOff>
      <xdr:row>0</xdr:row>
      <xdr:rowOff>0</xdr:rowOff>
    </xdr:from>
    <xdr:ext cx="1661602" cy="1805043"/>
    <xdr:pic>
      <xdr:nvPicPr>
        <xdr:cNvPr id="2" name="Picture 1">
          <a:extLst>
            <a:ext uri="{FF2B5EF4-FFF2-40B4-BE49-F238E27FC236}">
              <a16:creationId xmlns:a16="http://schemas.microsoft.com/office/drawing/2014/main" id="{C92D4790-E16A-4244-83D7-B616C0175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49" y="0"/>
          <a:ext cx="1661602" cy="1805043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209549</xdr:colOff>
      <xdr:row>0</xdr:row>
      <xdr:rowOff>0</xdr:rowOff>
    </xdr:from>
    <xdr:ext cx="1661602" cy="1805043"/>
    <xdr:pic>
      <xdr:nvPicPr>
        <xdr:cNvPr id="2" name="Picture 1">
          <a:extLst>
            <a:ext uri="{FF2B5EF4-FFF2-40B4-BE49-F238E27FC236}">
              <a16:creationId xmlns:a16="http://schemas.microsoft.com/office/drawing/2014/main" id="{31735F13-48BF-4439-8A73-09395DEAD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49" y="0"/>
          <a:ext cx="1661602" cy="180504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30205-B4F6-4FBB-94D1-1E5E5C097BE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FA5F2-EA63-4A05-A078-CE4382549EEA}">
  <sheetPr codeName="Sheet21">
    <pageSetUpPr fitToPage="1"/>
  </sheetPr>
  <dimension ref="C1:K40"/>
  <sheetViews>
    <sheetView showGridLines="0" tabSelected="1" view="pageBreakPreview" topLeftCell="A12" zoomScale="98" zoomScaleNormal="93" zoomScaleSheetLayoutView="72" workbookViewId="0">
      <selection activeCell="G28" sqref="G28"/>
    </sheetView>
  </sheetViews>
  <sheetFormatPr defaultRowHeight="15" x14ac:dyDescent="0.25"/>
  <cols>
    <col min="3" max="3" width="4.42578125" customWidth="1"/>
    <col min="4" max="4" width="10" customWidth="1"/>
    <col min="5" max="5" width="11.5703125" customWidth="1"/>
    <col min="6" max="6" width="33.28515625" customWidth="1"/>
    <col min="7" max="7" width="21.7109375" bestFit="1" customWidth="1"/>
    <col min="8" max="8" width="9.140625" customWidth="1"/>
    <col min="9" max="9" width="15" customWidth="1"/>
    <col min="10" max="10" width="18.7109375" customWidth="1"/>
    <col min="11" max="11" width="17.7109375" customWidth="1"/>
  </cols>
  <sheetData>
    <row r="1" spans="3:11" x14ac:dyDescent="0.25">
      <c r="F1" t="s">
        <v>59</v>
      </c>
    </row>
    <row r="2" spans="3:11" ht="27.75" x14ac:dyDescent="0.35">
      <c r="C2" s="64" t="s">
        <v>58</v>
      </c>
      <c r="D2" s="64"/>
      <c r="E2" s="64"/>
      <c r="F2" s="63"/>
      <c r="G2" s="63"/>
      <c r="H2" s="63"/>
      <c r="I2" s="63"/>
      <c r="J2" s="63"/>
      <c r="K2" s="63"/>
    </row>
    <row r="3" spans="3:11" x14ac:dyDescent="0.25">
      <c r="C3" s="62"/>
      <c r="D3" s="62"/>
      <c r="E3" s="62"/>
      <c r="F3" s="61"/>
      <c r="G3" s="61"/>
      <c r="H3" s="61"/>
      <c r="I3" s="61"/>
      <c r="J3" s="61"/>
      <c r="K3" s="61"/>
    </row>
    <row r="4" spans="3:11" x14ac:dyDescent="0.25">
      <c r="C4" s="62" t="s">
        <v>57</v>
      </c>
      <c r="D4" s="62"/>
      <c r="E4" s="62"/>
      <c r="F4" s="61"/>
      <c r="G4" s="61"/>
      <c r="H4" s="61"/>
      <c r="I4" s="61"/>
      <c r="J4" s="61"/>
      <c r="K4" s="61"/>
    </row>
    <row r="5" spans="3:11" ht="71.45" customHeight="1" thickBot="1" x14ac:dyDescent="0.3">
      <c r="C5" s="60" t="s">
        <v>56</v>
      </c>
      <c r="D5" s="60"/>
      <c r="E5" s="60"/>
      <c r="F5" s="59"/>
      <c r="G5" s="59"/>
      <c r="H5" s="59"/>
      <c r="I5" s="59"/>
      <c r="J5" s="59"/>
      <c r="K5" s="59"/>
    </row>
    <row r="6" spans="3:11" ht="8.4499999999999993" customHeight="1" x14ac:dyDescent="0.25">
      <c r="C6" s="58"/>
      <c r="D6" s="58"/>
      <c r="E6" s="58"/>
      <c r="F6" s="1"/>
      <c r="G6" s="1"/>
      <c r="H6" s="1"/>
      <c r="I6" s="1"/>
      <c r="J6" s="1"/>
      <c r="K6" s="1"/>
    </row>
    <row r="7" spans="3:11" x14ac:dyDescent="0.25">
      <c r="C7" s="50"/>
      <c r="D7" s="50"/>
      <c r="E7" s="57" t="s">
        <v>55</v>
      </c>
      <c r="F7" s="57"/>
      <c r="G7" s="56" t="s">
        <v>54</v>
      </c>
      <c r="H7" s="56"/>
      <c r="I7" s="1"/>
      <c r="J7" s="50"/>
      <c r="K7" s="1"/>
    </row>
    <row r="8" spans="3:11" x14ac:dyDescent="0.25">
      <c r="C8" s="1"/>
      <c r="D8" s="1"/>
      <c r="E8" s="1"/>
      <c r="F8" s="1"/>
      <c r="G8" s="56"/>
      <c r="H8" s="56"/>
      <c r="I8" s="1"/>
      <c r="J8" s="1"/>
      <c r="K8" s="1"/>
    </row>
    <row r="9" spans="3:11" x14ac:dyDescent="0.25">
      <c r="C9" s="1"/>
      <c r="D9" s="1"/>
      <c r="E9" s="1"/>
      <c r="F9" s="1"/>
      <c r="G9" s="1"/>
      <c r="H9" s="50"/>
      <c r="I9" s="1"/>
      <c r="J9" s="1"/>
      <c r="K9" s="1"/>
    </row>
    <row r="10" spans="3:11" ht="21.75" customHeight="1" thickBot="1" x14ac:dyDescent="0.3">
      <c r="C10" s="51"/>
      <c r="D10" s="55" t="s">
        <v>53</v>
      </c>
      <c r="E10" s="54" t="str">
        <f>D13</f>
        <v>ABDUL KARIM</v>
      </c>
      <c r="F10" s="54"/>
      <c r="G10" s="53"/>
      <c r="H10" s="52" t="s">
        <v>52</v>
      </c>
      <c r="I10" s="52"/>
      <c r="J10" s="51"/>
      <c r="K10" s="51"/>
    </row>
    <row r="11" spans="3:11" x14ac:dyDescent="0.25">
      <c r="C11" s="1"/>
      <c r="D11" s="1"/>
      <c r="E11" s="1"/>
      <c r="F11" s="1"/>
      <c r="G11" s="1"/>
      <c r="H11" s="50"/>
      <c r="I11" s="49"/>
      <c r="J11" s="1"/>
      <c r="K11" s="1"/>
    </row>
    <row r="12" spans="3:11" ht="27" customHeight="1" x14ac:dyDescent="0.25">
      <c r="C12" s="22" t="s">
        <v>25</v>
      </c>
      <c r="D12" s="45" t="s">
        <v>51</v>
      </c>
      <c r="E12" s="48"/>
      <c r="F12" s="44"/>
      <c r="G12" s="47" t="s">
        <v>50</v>
      </c>
      <c r="H12" s="46"/>
      <c r="I12" s="22" t="s">
        <v>49</v>
      </c>
      <c r="J12" s="45" t="s">
        <v>48</v>
      </c>
      <c r="K12" s="44"/>
    </row>
    <row r="13" spans="3:11" ht="24.75" customHeight="1" x14ac:dyDescent="0.25">
      <c r="C13" s="15">
        <v>1</v>
      </c>
      <c r="D13" s="20" t="s">
        <v>47</v>
      </c>
      <c r="E13" s="41"/>
      <c r="F13" s="19"/>
      <c r="G13" s="8" t="s">
        <v>46</v>
      </c>
      <c r="H13" s="7"/>
      <c r="I13" s="40"/>
      <c r="J13" s="43"/>
      <c r="K13" s="42"/>
    </row>
    <row r="14" spans="3:11" ht="24.75" customHeight="1" x14ac:dyDescent="0.25">
      <c r="C14" s="15">
        <v>2</v>
      </c>
      <c r="D14" s="20" t="s">
        <v>45</v>
      </c>
      <c r="E14" s="41"/>
      <c r="F14" s="19"/>
      <c r="G14" s="8" t="s">
        <v>44</v>
      </c>
      <c r="H14" s="7"/>
      <c r="I14" s="40"/>
      <c r="J14" s="39"/>
      <c r="K14" s="38"/>
    </row>
    <row r="15" spans="3:11" ht="29.25" customHeight="1" x14ac:dyDescent="0.25">
      <c r="C15" s="37" t="s">
        <v>43</v>
      </c>
      <c r="D15" s="37"/>
      <c r="E15" s="37"/>
      <c r="F15" s="24"/>
      <c r="G15" s="24"/>
      <c r="H15" s="24"/>
      <c r="I15" s="37" t="s">
        <v>42</v>
      </c>
      <c r="J15" s="24"/>
      <c r="K15" s="24"/>
    </row>
    <row r="16" spans="3:11" x14ac:dyDescent="0.25">
      <c r="C16" s="1"/>
      <c r="D16" s="1"/>
      <c r="E16" s="1"/>
      <c r="F16" s="1"/>
      <c r="G16" s="1"/>
      <c r="H16" s="1"/>
      <c r="I16" s="1"/>
      <c r="J16" s="1"/>
      <c r="K16" s="1"/>
    </row>
    <row r="17" spans="3:11" ht="23.25" customHeight="1" x14ac:dyDescent="0.25">
      <c r="C17" s="14" t="s">
        <v>41</v>
      </c>
      <c r="D17" s="14"/>
      <c r="E17" s="14"/>
      <c r="F17" s="13"/>
      <c r="G17" s="13"/>
      <c r="H17" s="13"/>
      <c r="I17" s="13"/>
      <c r="J17" s="13"/>
      <c r="K17" s="13"/>
    </row>
    <row r="18" spans="3:11" ht="27" customHeight="1" x14ac:dyDescent="0.25">
      <c r="C18" s="36" t="s">
        <v>40</v>
      </c>
      <c r="D18" s="35"/>
      <c r="E18" s="34" t="s">
        <v>39</v>
      </c>
      <c r="F18" s="34" t="s">
        <v>38</v>
      </c>
      <c r="G18" s="36" t="s">
        <v>37</v>
      </c>
      <c r="H18" s="35"/>
      <c r="I18" s="34" t="s">
        <v>36</v>
      </c>
      <c r="J18" s="34" t="s">
        <v>35</v>
      </c>
      <c r="K18" s="34" t="s">
        <v>34</v>
      </c>
    </row>
    <row r="19" spans="3:11" ht="22.7" customHeight="1" x14ac:dyDescent="0.25">
      <c r="C19" s="8" t="s">
        <v>29</v>
      </c>
      <c r="D19" s="7"/>
      <c r="E19" s="6">
        <v>378</v>
      </c>
      <c r="F19" s="15" t="s">
        <v>33</v>
      </c>
      <c r="G19" s="8" t="s">
        <v>30</v>
      </c>
      <c r="H19" s="7"/>
      <c r="I19" s="30">
        <v>46296</v>
      </c>
      <c r="J19" s="30">
        <v>46301</v>
      </c>
      <c r="K19" s="6">
        <f>J19-I19</f>
        <v>5</v>
      </c>
    </row>
    <row r="20" spans="3:11" ht="27" customHeight="1" x14ac:dyDescent="0.25">
      <c r="C20" s="33"/>
      <c r="D20" s="33"/>
      <c r="E20" s="33"/>
      <c r="F20" s="32"/>
      <c r="G20" s="32"/>
      <c r="H20" s="32"/>
      <c r="I20" s="32"/>
      <c r="J20" s="32"/>
      <c r="K20" s="32"/>
    </row>
    <row r="21" spans="3:11" ht="22.7" customHeight="1" x14ac:dyDescent="0.25">
      <c r="C21" s="8" t="s">
        <v>32</v>
      </c>
      <c r="D21" s="7"/>
      <c r="E21" s="6">
        <v>378</v>
      </c>
      <c r="F21" s="15" t="s">
        <v>31</v>
      </c>
      <c r="G21" s="8" t="s">
        <v>30</v>
      </c>
      <c r="H21" s="7"/>
      <c r="I21" s="30">
        <v>46301</v>
      </c>
      <c r="J21" s="30">
        <v>46310</v>
      </c>
      <c r="K21" s="6">
        <f>J21-I21</f>
        <v>9</v>
      </c>
    </row>
    <row r="22" spans="3:11" ht="22.7" customHeight="1" x14ac:dyDescent="0.25">
      <c r="C22" s="33"/>
      <c r="D22" s="33"/>
      <c r="E22" s="33"/>
      <c r="F22" s="32"/>
      <c r="G22" s="32"/>
      <c r="H22" s="32"/>
      <c r="I22" s="32"/>
      <c r="J22" s="32"/>
      <c r="K22" s="32"/>
    </row>
    <row r="23" spans="3:11" ht="22.7" customHeight="1" x14ac:dyDescent="0.25">
      <c r="C23" s="8" t="s">
        <v>29</v>
      </c>
      <c r="D23" s="7"/>
      <c r="E23" s="31">
        <v>378</v>
      </c>
      <c r="F23" s="15" t="str">
        <f>F19</f>
        <v>MASARAT SILVER / Similar</v>
      </c>
      <c r="G23" s="8" t="str">
        <f>G19</f>
        <v>DOUBLE</v>
      </c>
      <c r="H23" s="7"/>
      <c r="I23" s="30">
        <v>46310</v>
      </c>
      <c r="J23" s="30">
        <v>46314</v>
      </c>
      <c r="K23" s="6">
        <f>J23-I23</f>
        <v>4</v>
      </c>
    </row>
    <row r="24" spans="3:11" ht="31.5" customHeight="1" x14ac:dyDescent="0.25">
      <c r="C24" s="29"/>
      <c r="D24" s="28"/>
      <c r="E24" s="28"/>
      <c r="F24" s="28"/>
      <c r="G24" s="28"/>
      <c r="H24" s="28"/>
      <c r="I24" s="28"/>
      <c r="J24" s="27" t="s">
        <v>28</v>
      </c>
      <c r="K24" s="26">
        <f>SUM(K23,K21,K19)</f>
        <v>18</v>
      </c>
    </row>
    <row r="25" spans="3:11" x14ac:dyDescent="0.25">
      <c r="C25" s="25" t="s">
        <v>27</v>
      </c>
      <c r="D25" s="25"/>
      <c r="E25" s="25"/>
      <c r="F25" s="24"/>
      <c r="G25" s="24"/>
      <c r="H25" s="24"/>
      <c r="I25" s="24"/>
      <c r="J25" s="24"/>
      <c r="K25" s="24"/>
    </row>
    <row r="26" spans="3:11" x14ac:dyDescent="0.25">
      <c r="C26" s="23"/>
      <c r="D26" s="23"/>
      <c r="E26" s="23"/>
      <c r="F26" s="1"/>
      <c r="G26" s="1"/>
      <c r="H26" s="1"/>
      <c r="I26" s="1"/>
      <c r="J26" s="1"/>
      <c r="K26" s="1"/>
    </row>
    <row r="27" spans="3:11" ht="23.25" customHeight="1" x14ac:dyDescent="0.25">
      <c r="C27" s="14" t="s">
        <v>26</v>
      </c>
      <c r="D27" s="14"/>
      <c r="E27" s="14"/>
      <c r="F27" s="13"/>
      <c r="G27" s="13"/>
      <c r="H27" s="13"/>
      <c r="I27" s="13"/>
      <c r="J27" s="13"/>
      <c r="K27" s="13"/>
    </row>
    <row r="28" spans="3:11" ht="27" customHeight="1" x14ac:dyDescent="0.25">
      <c r="C28" s="22" t="s">
        <v>25</v>
      </c>
      <c r="D28" s="10" t="s">
        <v>24</v>
      </c>
      <c r="E28" s="12" t="s">
        <v>23</v>
      </c>
      <c r="F28" s="11"/>
      <c r="G28" s="10" t="s">
        <v>22</v>
      </c>
      <c r="H28" s="12" t="s">
        <v>21</v>
      </c>
      <c r="I28" s="11"/>
      <c r="J28" s="21" t="s">
        <v>20</v>
      </c>
      <c r="K28" s="10" t="s">
        <v>19</v>
      </c>
    </row>
    <row r="29" spans="3:11" ht="25.5" customHeight="1" x14ac:dyDescent="0.25">
      <c r="C29" s="6">
        <v>1</v>
      </c>
      <c r="D29" s="6">
        <v>317</v>
      </c>
      <c r="E29" s="20" t="s">
        <v>18</v>
      </c>
      <c r="F29" s="19"/>
      <c r="G29" s="6" t="s">
        <v>14</v>
      </c>
      <c r="H29" s="18">
        <v>46296</v>
      </c>
      <c r="I29" s="17"/>
      <c r="J29" s="16"/>
      <c r="K29" s="15"/>
    </row>
    <row r="30" spans="3:11" ht="25.5" customHeight="1" x14ac:dyDescent="0.25">
      <c r="C30" s="6">
        <v>2</v>
      </c>
      <c r="D30" s="6">
        <v>317</v>
      </c>
      <c r="E30" s="20" t="s">
        <v>17</v>
      </c>
      <c r="F30" s="19"/>
      <c r="G30" s="6" t="s">
        <v>14</v>
      </c>
      <c r="H30" s="18">
        <v>46301</v>
      </c>
      <c r="I30" s="17"/>
      <c r="J30" s="16"/>
      <c r="K30" s="15"/>
    </row>
    <row r="31" spans="3:11" ht="25.5" customHeight="1" x14ac:dyDescent="0.25">
      <c r="C31" s="6">
        <v>3</v>
      </c>
      <c r="D31" s="6">
        <v>317</v>
      </c>
      <c r="E31" s="20" t="s">
        <v>16</v>
      </c>
      <c r="F31" s="19"/>
      <c r="G31" s="6" t="s">
        <v>14</v>
      </c>
      <c r="H31" s="18">
        <v>46310</v>
      </c>
      <c r="I31" s="17"/>
      <c r="J31" s="16"/>
      <c r="K31" s="15"/>
    </row>
    <row r="32" spans="3:11" ht="25.5" customHeight="1" x14ac:dyDescent="0.25">
      <c r="C32" s="6">
        <v>4</v>
      </c>
      <c r="D32" s="6">
        <v>317</v>
      </c>
      <c r="E32" s="20" t="s">
        <v>15</v>
      </c>
      <c r="F32" s="19"/>
      <c r="G32" s="6" t="s">
        <v>14</v>
      </c>
      <c r="H32" s="18">
        <v>46314</v>
      </c>
      <c r="I32" s="17"/>
      <c r="J32" s="16"/>
      <c r="K32" s="15"/>
    </row>
    <row r="33" spans="3:11" ht="23.25" customHeight="1" x14ac:dyDescent="0.25">
      <c r="C33" s="14" t="s">
        <v>13</v>
      </c>
      <c r="D33" s="14"/>
      <c r="E33" s="14"/>
      <c r="F33" s="13"/>
      <c r="G33" s="13"/>
      <c r="H33" s="13"/>
      <c r="I33" s="13"/>
      <c r="J33" s="13"/>
      <c r="K33" s="13"/>
    </row>
    <row r="34" spans="3:11" ht="27" customHeight="1" x14ac:dyDescent="0.25">
      <c r="C34" s="12" t="s">
        <v>12</v>
      </c>
      <c r="D34" s="11"/>
      <c r="E34" s="10" t="s">
        <v>11</v>
      </c>
      <c r="F34" s="12" t="s">
        <v>10</v>
      </c>
      <c r="G34" s="11"/>
      <c r="H34" s="10" t="s">
        <v>9</v>
      </c>
      <c r="I34" s="10" t="s">
        <v>8</v>
      </c>
      <c r="J34" s="10" t="s">
        <v>7</v>
      </c>
      <c r="K34" s="10" t="s">
        <v>6</v>
      </c>
    </row>
    <row r="35" spans="3:11" ht="24.75" customHeight="1" x14ac:dyDescent="0.25">
      <c r="C35" s="8"/>
      <c r="D35" s="7"/>
      <c r="E35" s="9">
        <v>46296</v>
      </c>
      <c r="F35" s="8" t="s">
        <v>5</v>
      </c>
      <c r="G35" s="7"/>
      <c r="H35" s="6" t="s">
        <v>2</v>
      </c>
      <c r="I35" s="6" t="s">
        <v>3</v>
      </c>
      <c r="J35" s="5">
        <v>0.33333333333333331</v>
      </c>
      <c r="K35" s="5">
        <v>0.4201388888888889</v>
      </c>
    </row>
    <row r="36" spans="3:11" ht="24.75" customHeight="1" x14ac:dyDescent="0.25">
      <c r="C36" s="8"/>
      <c r="D36" s="7"/>
      <c r="E36" s="9">
        <v>46315</v>
      </c>
      <c r="F36" s="8" t="s">
        <v>4</v>
      </c>
      <c r="G36" s="7"/>
      <c r="H36" s="6" t="s">
        <v>3</v>
      </c>
      <c r="I36" s="6" t="s">
        <v>2</v>
      </c>
      <c r="J36" s="5">
        <v>0.53125</v>
      </c>
      <c r="K36" s="5">
        <v>0.29166666666666669</v>
      </c>
    </row>
    <row r="37" spans="3:11" x14ac:dyDescent="0.25">
      <c r="C37" s="1"/>
      <c r="D37" s="1"/>
      <c r="E37" s="1"/>
      <c r="F37" s="1"/>
      <c r="G37" s="1"/>
      <c r="H37" s="1"/>
      <c r="I37" s="1"/>
      <c r="J37" s="1"/>
      <c r="K37" s="1"/>
    </row>
    <row r="38" spans="3:11" x14ac:dyDescent="0.25">
      <c r="C38" s="4" t="s">
        <v>1</v>
      </c>
      <c r="D38" s="4"/>
      <c r="E38" s="4"/>
      <c r="F38" s="4"/>
      <c r="G38" s="4"/>
      <c r="H38" s="1"/>
      <c r="I38" s="1"/>
      <c r="J38" s="1"/>
      <c r="K38" s="1"/>
    </row>
    <row r="39" spans="3:11" x14ac:dyDescent="0.25">
      <c r="C39" s="3" t="s">
        <v>0</v>
      </c>
      <c r="D39" s="3"/>
      <c r="E39" s="3"/>
      <c r="F39" s="3"/>
      <c r="G39" s="3"/>
      <c r="H39" s="1"/>
      <c r="I39" s="1"/>
      <c r="J39" s="1"/>
      <c r="K39" s="2"/>
    </row>
    <row r="40" spans="3:11" x14ac:dyDescent="0.25">
      <c r="C40" s="1"/>
      <c r="D40" s="1"/>
      <c r="E40" s="1"/>
      <c r="F40" s="1"/>
      <c r="G40" s="1"/>
      <c r="H40" s="1"/>
      <c r="I40" s="1"/>
      <c r="J40" s="1"/>
      <c r="K40" s="1"/>
    </row>
  </sheetData>
  <mergeCells count="51">
    <mergeCell ref="C2:K2"/>
    <mergeCell ref="C3:K3"/>
    <mergeCell ref="C4:K4"/>
    <mergeCell ref="C5:K5"/>
    <mergeCell ref="E7:F7"/>
    <mergeCell ref="G7:H7"/>
    <mergeCell ref="G8:H8"/>
    <mergeCell ref="E10:F10"/>
    <mergeCell ref="H10:I10"/>
    <mergeCell ref="D12:F12"/>
    <mergeCell ref="G12:H12"/>
    <mergeCell ref="J12:K12"/>
    <mergeCell ref="D13:F13"/>
    <mergeCell ref="G13:H13"/>
    <mergeCell ref="J13:K13"/>
    <mergeCell ref="D14:F14"/>
    <mergeCell ref="G14:H14"/>
    <mergeCell ref="C15:H15"/>
    <mergeCell ref="I15:K15"/>
    <mergeCell ref="C17:K17"/>
    <mergeCell ref="C18:D18"/>
    <mergeCell ref="G18:H18"/>
    <mergeCell ref="C19:D19"/>
    <mergeCell ref="G19:H19"/>
    <mergeCell ref="C20:K20"/>
    <mergeCell ref="C21:D21"/>
    <mergeCell ref="G21:H21"/>
    <mergeCell ref="C22:K22"/>
    <mergeCell ref="C23:D23"/>
    <mergeCell ref="G23:H23"/>
    <mergeCell ref="C25:K25"/>
    <mergeCell ref="C27:K27"/>
    <mergeCell ref="E28:F28"/>
    <mergeCell ref="H28:I28"/>
    <mergeCell ref="E29:F29"/>
    <mergeCell ref="H29:I29"/>
    <mergeCell ref="E30:F30"/>
    <mergeCell ref="H30:I30"/>
    <mergeCell ref="E31:F31"/>
    <mergeCell ref="H31:I31"/>
    <mergeCell ref="E32:F32"/>
    <mergeCell ref="H32:I32"/>
    <mergeCell ref="C33:K33"/>
    <mergeCell ref="C34:D34"/>
    <mergeCell ref="F34:G34"/>
    <mergeCell ref="C35:D35"/>
    <mergeCell ref="F35:G35"/>
    <mergeCell ref="C36:D36"/>
    <mergeCell ref="F36:G36"/>
    <mergeCell ref="C38:G38"/>
    <mergeCell ref="C39:G39"/>
  </mergeCells>
  <printOptions horizontalCentered="1" verticalCentered="1"/>
  <pageMargins left="0.25" right="0.25" top="0.5" bottom="0.5" header="0.3" footer="0.3"/>
  <pageSetup paperSize="9" scale="69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E1080-2EDE-403F-98DB-05A01B3BEFC4}">
  <sheetPr codeName="Sheet22">
    <pageSetUpPr fitToPage="1"/>
  </sheetPr>
  <dimension ref="C1:K39"/>
  <sheetViews>
    <sheetView showGridLines="0" view="pageBreakPreview" topLeftCell="A4" zoomScale="98" zoomScaleNormal="93" zoomScaleSheetLayoutView="72" workbookViewId="0">
      <selection activeCell="C4" sqref="C4:K4"/>
    </sheetView>
  </sheetViews>
  <sheetFormatPr defaultRowHeight="15" x14ac:dyDescent="0.25"/>
  <cols>
    <col min="3" max="3" width="4.42578125" customWidth="1"/>
    <col min="4" max="4" width="10" customWidth="1"/>
    <col min="5" max="5" width="11.5703125" customWidth="1"/>
    <col min="6" max="6" width="33.28515625" customWidth="1"/>
    <col min="7" max="7" width="21.7109375" bestFit="1" customWidth="1"/>
    <col min="8" max="8" width="9.140625" customWidth="1"/>
    <col min="9" max="9" width="15" customWidth="1"/>
    <col min="10" max="10" width="18.7109375" customWidth="1"/>
    <col min="11" max="11" width="17.7109375" customWidth="1"/>
  </cols>
  <sheetData>
    <row r="1" spans="3:11" x14ac:dyDescent="0.25">
      <c r="F1" t="s">
        <v>59</v>
      </c>
    </row>
    <row r="2" spans="3:11" ht="27.75" x14ac:dyDescent="0.35">
      <c r="C2" s="64" t="s">
        <v>58</v>
      </c>
      <c r="D2" s="64"/>
      <c r="E2" s="64"/>
      <c r="F2" s="63"/>
      <c r="G2" s="63"/>
      <c r="H2" s="63"/>
      <c r="I2" s="63"/>
      <c r="J2" s="63"/>
      <c r="K2" s="63"/>
    </row>
    <row r="3" spans="3:11" x14ac:dyDescent="0.25">
      <c r="C3" s="62"/>
      <c r="D3" s="62"/>
      <c r="E3" s="62"/>
      <c r="F3" s="61"/>
      <c r="G3" s="61"/>
      <c r="H3" s="61"/>
      <c r="I3" s="61"/>
      <c r="J3" s="61"/>
      <c r="K3" s="61"/>
    </row>
    <row r="4" spans="3:11" x14ac:dyDescent="0.25">
      <c r="C4" s="62" t="s">
        <v>57</v>
      </c>
      <c r="D4" s="62"/>
      <c r="E4" s="62"/>
      <c r="F4" s="61"/>
      <c r="G4" s="61"/>
      <c r="H4" s="61"/>
      <c r="I4" s="61"/>
      <c r="J4" s="61"/>
      <c r="K4" s="61"/>
    </row>
    <row r="5" spans="3:11" ht="71.45" customHeight="1" thickBot="1" x14ac:dyDescent="0.3">
      <c r="C5" s="60" t="s">
        <v>56</v>
      </c>
      <c r="D5" s="60"/>
      <c r="E5" s="60"/>
      <c r="F5" s="59"/>
      <c r="G5" s="59"/>
      <c r="H5" s="59"/>
      <c r="I5" s="59"/>
      <c r="J5" s="59"/>
      <c r="K5" s="59"/>
    </row>
    <row r="6" spans="3:11" ht="8.4499999999999993" customHeight="1" x14ac:dyDescent="0.25">
      <c r="C6" s="58"/>
      <c r="D6" s="58"/>
      <c r="E6" s="58"/>
      <c r="F6" s="1"/>
      <c r="G6" s="1"/>
      <c r="H6" s="1"/>
      <c r="I6" s="1"/>
      <c r="J6" s="1"/>
      <c r="K6" s="1"/>
    </row>
    <row r="7" spans="3:11" x14ac:dyDescent="0.25">
      <c r="C7" s="50"/>
      <c r="D7" s="50"/>
      <c r="E7" s="57" t="s">
        <v>55</v>
      </c>
      <c r="F7" s="57"/>
      <c r="G7" s="56" t="s">
        <v>54</v>
      </c>
      <c r="H7" s="56"/>
      <c r="I7" s="1"/>
      <c r="J7" s="50"/>
      <c r="K7" s="1"/>
    </row>
    <row r="8" spans="3:11" x14ac:dyDescent="0.25">
      <c r="C8" s="1"/>
      <c r="D8" s="1"/>
      <c r="E8" s="1"/>
      <c r="F8" s="1"/>
      <c r="G8" s="56"/>
      <c r="H8" s="56"/>
      <c r="I8" s="1"/>
      <c r="J8" s="1"/>
      <c r="K8" s="1"/>
    </row>
    <row r="9" spans="3:11" x14ac:dyDescent="0.25">
      <c r="C9" s="1"/>
      <c r="D9" s="1"/>
      <c r="E9" s="1"/>
      <c r="F9" s="1"/>
      <c r="G9" s="1"/>
      <c r="H9" s="50"/>
      <c r="I9" s="1"/>
      <c r="J9" s="1"/>
      <c r="K9" s="1"/>
    </row>
    <row r="10" spans="3:11" ht="21.75" customHeight="1" thickBot="1" x14ac:dyDescent="0.3">
      <c r="C10" s="51"/>
      <c r="D10" s="55" t="s">
        <v>53</v>
      </c>
      <c r="E10" s="54" t="str">
        <f>D13</f>
        <v>TAHIRA BEGUM/MRS</v>
      </c>
      <c r="F10" s="54"/>
      <c r="G10" s="53"/>
      <c r="H10" s="52" t="s">
        <v>52</v>
      </c>
      <c r="I10" s="52"/>
      <c r="J10" s="51"/>
      <c r="K10" s="51"/>
    </row>
    <row r="11" spans="3:11" x14ac:dyDescent="0.25">
      <c r="C11" s="1"/>
      <c r="D11" s="1"/>
      <c r="E11" s="1"/>
      <c r="F11" s="1"/>
      <c r="G11" s="1"/>
      <c r="H11" s="50"/>
      <c r="I11" s="49"/>
      <c r="J11" s="1"/>
      <c r="K11" s="1"/>
    </row>
    <row r="12" spans="3:11" ht="27" customHeight="1" x14ac:dyDescent="0.25">
      <c r="C12" s="22" t="s">
        <v>25</v>
      </c>
      <c r="D12" s="45" t="s">
        <v>51</v>
      </c>
      <c r="E12" s="48"/>
      <c r="F12" s="44"/>
      <c r="G12" s="47" t="s">
        <v>50</v>
      </c>
      <c r="H12" s="46"/>
      <c r="I12" s="22" t="s">
        <v>49</v>
      </c>
      <c r="J12" s="45" t="s">
        <v>48</v>
      </c>
      <c r="K12" s="44"/>
    </row>
    <row r="13" spans="3:11" ht="24.75" customHeight="1" x14ac:dyDescent="0.25">
      <c r="C13" s="15">
        <v>1</v>
      </c>
      <c r="D13" s="20" t="s">
        <v>66</v>
      </c>
      <c r="E13" s="41"/>
      <c r="F13" s="19"/>
      <c r="G13" s="8" t="s">
        <v>65</v>
      </c>
      <c r="H13" s="7"/>
      <c r="I13" s="40"/>
      <c r="J13" s="43"/>
      <c r="K13" s="42"/>
    </row>
    <row r="14" spans="3:11" ht="29.25" customHeight="1" x14ac:dyDescent="0.25">
      <c r="C14" s="37" t="s">
        <v>64</v>
      </c>
      <c r="D14" s="37"/>
      <c r="E14" s="37"/>
      <c r="F14" s="24"/>
      <c r="G14" s="24"/>
      <c r="H14" s="24"/>
      <c r="I14" s="37" t="s">
        <v>63</v>
      </c>
      <c r="J14" s="24"/>
      <c r="K14" s="24"/>
    </row>
    <row r="15" spans="3:11" x14ac:dyDescent="0.25">
      <c r="C15" s="1"/>
      <c r="D15" s="1"/>
      <c r="E15" s="1"/>
      <c r="F15" s="1"/>
      <c r="G15" s="1"/>
      <c r="H15" s="1"/>
      <c r="I15" s="1"/>
      <c r="J15" s="1"/>
      <c r="K15" s="1"/>
    </row>
    <row r="16" spans="3:11" ht="23.25" customHeight="1" x14ac:dyDescent="0.25">
      <c r="C16" s="14" t="s">
        <v>41</v>
      </c>
      <c r="D16" s="14"/>
      <c r="E16" s="14"/>
      <c r="F16" s="13"/>
      <c r="G16" s="13"/>
      <c r="H16" s="13"/>
      <c r="I16" s="13"/>
      <c r="J16" s="13"/>
      <c r="K16" s="13"/>
    </row>
    <row r="17" spans="3:11" ht="27" customHeight="1" x14ac:dyDescent="0.25">
      <c r="C17" s="36" t="s">
        <v>40</v>
      </c>
      <c r="D17" s="35"/>
      <c r="E17" s="34" t="s">
        <v>39</v>
      </c>
      <c r="F17" s="34" t="s">
        <v>38</v>
      </c>
      <c r="G17" s="36" t="s">
        <v>37</v>
      </c>
      <c r="H17" s="35"/>
      <c r="I17" s="34" t="s">
        <v>36</v>
      </c>
      <c r="J17" s="34" t="s">
        <v>35</v>
      </c>
      <c r="K17" s="34" t="s">
        <v>34</v>
      </c>
    </row>
    <row r="18" spans="3:11" ht="22.7" customHeight="1" x14ac:dyDescent="0.25">
      <c r="C18" s="8" t="s">
        <v>29</v>
      </c>
      <c r="D18" s="7"/>
      <c r="E18" s="6">
        <v>378</v>
      </c>
      <c r="F18" s="15" t="s">
        <v>62</v>
      </c>
      <c r="G18" s="8" t="s">
        <v>60</v>
      </c>
      <c r="H18" s="7"/>
      <c r="I18" s="30">
        <v>46296</v>
      </c>
      <c r="J18" s="30">
        <v>46301</v>
      </c>
      <c r="K18" s="6">
        <f>J18-I18</f>
        <v>5</v>
      </c>
    </row>
    <row r="19" spans="3:11" ht="27" customHeight="1" x14ac:dyDescent="0.25">
      <c r="C19" s="33"/>
      <c r="D19" s="33"/>
      <c r="E19" s="33"/>
      <c r="F19" s="32"/>
      <c r="G19" s="32"/>
      <c r="H19" s="32"/>
      <c r="I19" s="32"/>
      <c r="J19" s="32"/>
      <c r="K19" s="32"/>
    </row>
    <row r="20" spans="3:11" ht="22.7" customHeight="1" x14ac:dyDescent="0.25">
      <c r="C20" s="8" t="s">
        <v>32</v>
      </c>
      <c r="D20" s="7"/>
      <c r="E20" s="6">
        <v>378</v>
      </c>
      <c r="F20" s="15" t="s">
        <v>61</v>
      </c>
      <c r="G20" s="8" t="s">
        <v>60</v>
      </c>
      <c r="H20" s="7"/>
      <c r="I20" s="30">
        <v>46301</v>
      </c>
      <c r="J20" s="30">
        <v>46310</v>
      </c>
      <c r="K20" s="6">
        <f>J20-I20</f>
        <v>9</v>
      </c>
    </row>
    <row r="21" spans="3:11" ht="22.7" customHeight="1" x14ac:dyDescent="0.25">
      <c r="C21" s="33"/>
      <c r="D21" s="33"/>
      <c r="E21" s="33"/>
      <c r="F21" s="32"/>
      <c r="G21" s="32"/>
      <c r="H21" s="32"/>
      <c r="I21" s="32"/>
      <c r="J21" s="32"/>
      <c r="K21" s="32"/>
    </row>
    <row r="22" spans="3:11" ht="22.7" customHeight="1" x14ac:dyDescent="0.25">
      <c r="C22" s="8" t="s">
        <v>29</v>
      </c>
      <c r="D22" s="7"/>
      <c r="E22" s="31">
        <v>378</v>
      </c>
      <c r="F22" s="15" t="str">
        <f>F18</f>
        <v>MASARAT SILVER</v>
      </c>
      <c r="G22" s="8" t="s">
        <v>60</v>
      </c>
      <c r="H22" s="7"/>
      <c r="I22" s="30">
        <v>46310</v>
      </c>
      <c r="J22" s="30">
        <v>46314</v>
      </c>
      <c r="K22" s="6">
        <f>J22-I22</f>
        <v>4</v>
      </c>
    </row>
    <row r="23" spans="3:11" ht="31.5" customHeight="1" x14ac:dyDescent="0.25">
      <c r="C23" s="29"/>
      <c r="D23" s="28"/>
      <c r="E23" s="28"/>
      <c r="F23" s="28"/>
      <c r="G23" s="28"/>
      <c r="H23" s="28"/>
      <c r="I23" s="28"/>
      <c r="J23" s="27" t="s">
        <v>28</v>
      </c>
      <c r="K23" s="26">
        <f>SUM(K22,K20,K18)</f>
        <v>18</v>
      </c>
    </row>
    <row r="24" spans="3:11" x14ac:dyDescent="0.25">
      <c r="C24" s="25" t="s">
        <v>27</v>
      </c>
      <c r="D24" s="25"/>
      <c r="E24" s="25"/>
      <c r="F24" s="24"/>
      <c r="G24" s="24"/>
      <c r="H24" s="24"/>
      <c r="I24" s="24"/>
      <c r="J24" s="24"/>
      <c r="K24" s="24"/>
    </row>
    <row r="25" spans="3:11" x14ac:dyDescent="0.25">
      <c r="C25" s="23"/>
      <c r="D25" s="23"/>
      <c r="E25" s="23"/>
      <c r="F25" s="1"/>
      <c r="G25" s="1"/>
      <c r="H25" s="1"/>
      <c r="I25" s="1"/>
      <c r="J25" s="1"/>
      <c r="K25" s="1"/>
    </row>
    <row r="26" spans="3:11" ht="23.25" customHeight="1" x14ac:dyDescent="0.25">
      <c r="C26" s="14" t="s">
        <v>26</v>
      </c>
      <c r="D26" s="14"/>
      <c r="E26" s="14"/>
      <c r="F26" s="13"/>
      <c r="G26" s="13"/>
      <c r="H26" s="13"/>
      <c r="I26" s="13"/>
      <c r="J26" s="13"/>
      <c r="K26" s="13"/>
    </row>
    <row r="27" spans="3:11" ht="27" customHeight="1" x14ac:dyDescent="0.25">
      <c r="C27" s="22" t="s">
        <v>25</v>
      </c>
      <c r="D27" s="10" t="s">
        <v>24</v>
      </c>
      <c r="E27" s="12" t="s">
        <v>23</v>
      </c>
      <c r="F27" s="11"/>
      <c r="G27" s="10" t="s">
        <v>22</v>
      </c>
      <c r="H27" s="12" t="s">
        <v>21</v>
      </c>
      <c r="I27" s="11"/>
      <c r="J27" s="21" t="s">
        <v>20</v>
      </c>
      <c r="K27" s="10" t="s">
        <v>19</v>
      </c>
    </row>
    <row r="28" spans="3:11" ht="25.5" customHeight="1" x14ac:dyDescent="0.25">
      <c r="C28" s="6">
        <v>1</v>
      </c>
      <c r="D28" s="6">
        <v>317</v>
      </c>
      <c r="E28" s="20" t="s">
        <v>18</v>
      </c>
      <c r="F28" s="19"/>
      <c r="G28" s="6" t="s">
        <v>14</v>
      </c>
      <c r="H28" s="18">
        <v>46296</v>
      </c>
      <c r="I28" s="17"/>
      <c r="J28" s="16"/>
      <c r="K28" s="15"/>
    </row>
    <row r="29" spans="3:11" ht="25.5" customHeight="1" x14ac:dyDescent="0.25">
      <c r="C29" s="6">
        <v>2</v>
      </c>
      <c r="D29" s="6">
        <v>317</v>
      </c>
      <c r="E29" s="20" t="s">
        <v>17</v>
      </c>
      <c r="F29" s="19"/>
      <c r="G29" s="6" t="s">
        <v>14</v>
      </c>
      <c r="H29" s="18">
        <v>46301</v>
      </c>
      <c r="I29" s="17"/>
      <c r="J29" s="16"/>
      <c r="K29" s="15"/>
    </row>
    <row r="30" spans="3:11" ht="25.5" customHeight="1" x14ac:dyDescent="0.25">
      <c r="C30" s="6">
        <v>3</v>
      </c>
      <c r="D30" s="6">
        <v>317</v>
      </c>
      <c r="E30" s="20" t="s">
        <v>16</v>
      </c>
      <c r="F30" s="19"/>
      <c r="G30" s="6" t="s">
        <v>14</v>
      </c>
      <c r="H30" s="18">
        <v>46310</v>
      </c>
      <c r="I30" s="17"/>
      <c r="J30" s="16"/>
      <c r="K30" s="15"/>
    </row>
    <row r="31" spans="3:11" ht="25.5" customHeight="1" x14ac:dyDescent="0.25">
      <c r="C31" s="6">
        <v>4</v>
      </c>
      <c r="D31" s="6">
        <v>317</v>
      </c>
      <c r="E31" s="20" t="s">
        <v>15</v>
      </c>
      <c r="F31" s="19"/>
      <c r="G31" s="6" t="s">
        <v>14</v>
      </c>
      <c r="H31" s="18">
        <v>46314</v>
      </c>
      <c r="I31" s="17"/>
      <c r="J31" s="16"/>
      <c r="K31" s="15"/>
    </row>
    <row r="32" spans="3:11" ht="23.25" customHeight="1" x14ac:dyDescent="0.25">
      <c r="C32" s="14" t="s">
        <v>13</v>
      </c>
      <c r="D32" s="14"/>
      <c r="E32" s="14"/>
      <c r="F32" s="13"/>
      <c r="G32" s="13"/>
      <c r="H32" s="13"/>
      <c r="I32" s="13"/>
      <c r="J32" s="13"/>
      <c r="K32" s="13"/>
    </row>
    <row r="33" spans="3:11" ht="27" customHeight="1" x14ac:dyDescent="0.25">
      <c r="C33" s="12" t="s">
        <v>12</v>
      </c>
      <c r="D33" s="11"/>
      <c r="E33" s="10" t="s">
        <v>11</v>
      </c>
      <c r="F33" s="12" t="s">
        <v>10</v>
      </c>
      <c r="G33" s="11"/>
      <c r="H33" s="10" t="s">
        <v>9</v>
      </c>
      <c r="I33" s="10" t="s">
        <v>8</v>
      </c>
      <c r="J33" s="10" t="s">
        <v>7</v>
      </c>
      <c r="K33" s="10" t="s">
        <v>6</v>
      </c>
    </row>
    <row r="34" spans="3:11" ht="24.75" customHeight="1" x14ac:dyDescent="0.25">
      <c r="C34" s="8"/>
      <c r="D34" s="7"/>
      <c r="E34" s="9">
        <v>46296</v>
      </c>
      <c r="F34" s="8" t="s">
        <v>5</v>
      </c>
      <c r="G34" s="7"/>
      <c r="H34" s="6" t="s">
        <v>2</v>
      </c>
      <c r="I34" s="6" t="s">
        <v>3</v>
      </c>
      <c r="J34" s="5">
        <v>0.33333333333333331</v>
      </c>
      <c r="K34" s="5">
        <v>0.4201388888888889</v>
      </c>
    </row>
    <row r="35" spans="3:11" ht="24.75" customHeight="1" x14ac:dyDescent="0.25">
      <c r="C35" s="8"/>
      <c r="D35" s="7"/>
      <c r="E35" s="9">
        <v>46315</v>
      </c>
      <c r="F35" s="8" t="s">
        <v>4</v>
      </c>
      <c r="G35" s="7"/>
      <c r="H35" s="6" t="s">
        <v>3</v>
      </c>
      <c r="I35" s="6" t="s">
        <v>2</v>
      </c>
      <c r="J35" s="5">
        <v>0.53125</v>
      </c>
      <c r="K35" s="5">
        <v>0.29166666666666669</v>
      </c>
    </row>
    <row r="36" spans="3:11" x14ac:dyDescent="0.25">
      <c r="C36" s="1"/>
      <c r="D36" s="1"/>
      <c r="E36" s="1"/>
      <c r="F36" s="1"/>
      <c r="G36" s="1"/>
      <c r="H36" s="1"/>
      <c r="I36" s="1"/>
      <c r="J36" s="1"/>
      <c r="K36" s="1"/>
    </row>
    <row r="37" spans="3:11" x14ac:dyDescent="0.25">
      <c r="C37" s="4" t="s">
        <v>1</v>
      </c>
      <c r="D37" s="4"/>
      <c r="E37" s="4"/>
      <c r="F37" s="4"/>
      <c r="G37" s="4"/>
      <c r="H37" s="1"/>
      <c r="I37" s="1"/>
      <c r="J37" s="1"/>
      <c r="K37" s="1"/>
    </row>
    <row r="38" spans="3:11" x14ac:dyDescent="0.25">
      <c r="C38" s="3" t="s">
        <v>0</v>
      </c>
      <c r="D38" s="3"/>
      <c r="E38" s="3"/>
      <c r="F38" s="3"/>
      <c r="G38" s="3"/>
      <c r="H38" s="1"/>
      <c r="I38" s="1"/>
      <c r="J38" s="1"/>
      <c r="K38" s="2"/>
    </row>
    <row r="39" spans="3:11" x14ac:dyDescent="0.25">
      <c r="C39" s="1"/>
      <c r="D39" s="1"/>
      <c r="E39" s="1"/>
      <c r="F39" s="1"/>
      <c r="G39" s="1"/>
      <c r="H39" s="1"/>
      <c r="I39" s="1"/>
      <c r="J39" s="1"/>
      <c r="K39" s="1"/>
    </row>
  </sheetData>
  <mergeCells count="49">
    <mergeCell ref="J12:K12"/>
    <mergeCell ref="C2:K2"/>
    <mergeCell ref="C3:K3"/>
    <mergeCell ref="C4:K4"/>
    <mergeCell ref="C5:K5"/>
    <mergeCell ref="E7:F7"/>
    <mergeCell ref="G7:H7"/>
    <mergeCell ref="D13:F13"/>
    <mergeCell ref="G13:H13"/>
    <mergeCell ref="J13:K13"/>
    <mergeCell ref="C14:H14"/>
    <mergeCell ref="I14:K14"/>
    <mergeCell ref="G8:H8"/>
    <mergeCell ref="E10:F10"/>
    <mergeCell ref="H10:I10"/>
    <mergeCell ref="D12:F12"/>
    <mergeCell ref="G12:H12"/>
    <mergeCell ref="C16:K16"/>
    <mergeCell ref="C17:D17"/>
    <mergeCell ref="G17:H17"/>
    <mergeCell ref="C18:D18"/>
    <mergeCell ref="G18:H18"/>
    <mergeCell ref="C19:K19"/>
    <mergeCell ref="C20:D20"/>
    <mergeCell ref="G20:H20"/>
    <mergeCell ref="C21:K21"/>
    <mergeCell ref="C22:D22"/>
    <mergeCell ref="G22:H22"/>
    <mergeCell ref="C24:K24"/>
    <mergeCell ref="C26:K26"/>
    <mergeCell ref="E27:F27"/>
    <mergeCell ref="H27:I27"/>
    <mergeCell ref="E28:F28"/>
    <mergeCell ref="H28:I28"/>
    <mergeCell ref="E29:F29"/>
    <mergeCell ref="H29:I29"/>
    <mergeCell ref="E30:F30"/>
    <mergeCell ref="H30:I30"/>
    <mergeCell ref="E31:F31"/>
    <mergeCell ref="H31:I31"/>
    <mergeCell ref="C32:K32"/>
    <mergeCell ref="C33:D33"/>
    <mergeCell ref="F33:G33"/>
    <mergeCell ref="C34:D34"/>
    <mergeCell ref="F34:G34"/>
    <mergeCell ref="C35:D35"/>
    <mergeCell ref="F35:G35"/>
    <mergeCell ref="C37:G37"/>
    <mergeCell ref="C38:G38"/>
  </mergeCells>
  <printOptions horizontalCentered="1" verticalCentered="1"/>
  <pageMargins left="0.25" right="0.25" top="0.5" bottom="0.5" header="0.3" footer="0.3"/>
  <pageSetup paperSize="9" scale="69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4ECD6-4A37-48FB-A27B-F9BA4AE68FCC}">
  <sheetPr codeName="Sheet23">
    <pageSetUpPr fitToPage="1"/>
  </sheetPr>
  <dimension ref="C1:K39"/>
  <sheetViews>
    <sheetView showGridLines="0" view="pageBreakPreview" topLeftCell="A5" zoomScale="87" zoomScaleNormal="93" zoomScaleSheetLayoutView="72" workbookViewId="0">
      <selection activeCell="C4" sqref="C4:K4"/>
    </sheetView>
  </sheetViews>
  <sheetFormatPr defaultRowHeight="15" x14ac:dyDescent="0.25"/>
  <cols>
    <col min="3" max="3" width="4.42578125" customWidth="1"/>
    <col min="4" max="4" width="10" customWidth="1"/>
    <col min="5" max="5" width="11.5703125" customWidth="1"/>
    <col min="6" max="6" width="33.28515625" customWidth="1"/>
    <col min="7" max="7" width="21.7109375" bestFit="1" customWidth="1"/>
    <col min="8" max="8" width="9.140625" customWidth="1"/>
    <col min="9" max="9" width="15" customWidth="1"/>
    <col min="10" max="10" width="18.7109375" customWidth="1"/>
    <col min="11" max="11" width="17.7109375" customWidth="1"/>
  </cols>
  <sheetData>
    <row r="1" spans="3:11" x14ac:dyDescent="0.25">
      <c r="F1" t="s">
        <v>59</v>
      </c>
    </row>
    <row r="2" spans="3:11" ht="27.75" x14ac:dyDescent="0.35">
      <c r="C2" s="64" t="s">
        <v>58</v>
      </c>
      <c r="D2" s="64"/>
      <c r="E2" s="64"/>
      <c r="F2" s="63"/>
      <c r="G2" s="63"/>
      <c r="H2" s="63"/>
      <c r="I2" s="63"/>
      <c r="J2" s="63"/>
      <c r="K2" s="63"/>
    </row>
    <row r="3" spans="3:11" x14ac:dyDescent="0.25">
      <c r="C3" s="62"/>
      <c r="D3" s="62"/>
      <c r="E3" s="62"/>
      <c r="F3" s="61"/>
      <c r="G3" s="61"/>
      <c r="H3" s="61"/>
      <c r="I3" s="61"/>
      <c r="J3" s="61"/>
      <c r="K3" s="61"/>
    </row>
    <row r="4" spans="3:11" x14ac:dyDescent="0.25">
      <c r="C4" s="62" t="s">
        <v>57</v>
      </c>
      <c r="D4" s="62"/>
      <c r="E4" s="62"/>
      <c r="F4" s="61"/>
      <c r="G4" s="61"/>
      <c r="H4" s="61"/>
      <c r="I4" s="61"/>
      <c r="J4" s="61"/>
      <c r="K4" s="61"/>
    </row>
    <row r="5" spans="3:11" ht="71.45" customHeight="1" thickBot="1" x14ac:dyDescent="0.3">
      <c r="C5" s="60" t="s">
        <v>56</v>
      </c>
      <c r="D5" s="60"/>
      <c r="E5" s="60"/>
      <c r="F5" s="59"/>
      <c r="G5" s="59"/>
      <c r="H5" s="59"/>
      <c r="I5" s="59"/>
      <c r="J5" s="59"/>
      <c r="K5" s="59"/>
    </row>
    <row r="6" spans="3:11" ht="8.4499999999999993" customHeight="1" x14ac:dyDescent="0.25">
      <c r="C6" s="58"/>
      <c r="D6" s="58"/>
      <c r="E6" s="58"/>
      <c r="F6" s="1"/>
      <c r="G6" s="1"/>
      <c r="H6" s="1"/>
      <c r="I6" s="1"/>
      <c r="J6" s="1"/>
      <c r="K6" s="1"/>
    </row>
    <row r="7" spans="3:11" x14ac:dyDescent="0.25">
      <c r="C7" s="50"/>
      <c r="D7" s="50"/>
      <c r="E7" s="57" t="s">
        <v>55</v>
      </c>
      <c r="F7" s="57"/>
      <c r="G7" s="56" t="s">
        <v>54</v>
      </c>
      <c r="H7" s="56"/>
      <c r="I7" s="1"/>
      <c r="J7" s="50"/>
      <c r="K7" s="1"/>
    </row>
    <row r="8" spans="3:11" x14ac:dyDescent="0.25">
      <c r="C8" s="1"/>
      <c r="D8" s="1"/>
      <c r="E8" s="1"/>
      <c r="F8" s="1"/>
      <c r="G8" s="56"/>
      <c r="H8" s="56"/>
      <c r="I8" s="1"/>
      <c r="J8" s="1"/>
      <c r="K8" s="1"/>
    </row>
    <row r="9" spans="3:11" x14ac:dyDescent="0.25">
      <c r="C9" s="1"/>
      <c r="D9" s="1"/>
      <c r="E9" s="1"/>
      <c r="F9" s="1"/>
      <c r="G9" s="1"/>
      <c r="H9" s="50"/>
      <c r="I9" s="1"/>
      <c r="J9" s="1"/>
      <c r="K9" s="1"/>
    </row>
    <row r="10" spans="3:11" ht="21.75" customHeight="1" thickBot="1" x14ac:dyDescent="0.3">
      <c r="C10" s="51"/>
      <c r="D10" s="55" t="s">
        <v>53</v>
      </c>
      <c r="E10" s="54" t="str">
        <f>D13</f>
        <v>JAMILA BEGUM/MRS</v>
      </c>
      <c r="F10" s="54"/>
      <c r="G10" s="53"/>
      <c r="H10" s="52" t="s">
        <v>52</v>
      </c>
      <c r="I10" s="52"/>
      <c r="J10" s="51"/>
      <c r="K10" s="51"/>
    </row>
    <row r="11" spans="3:11" x14ac:dyDescent="0.25">
      <c r="C11" s="1"/>
      <c r="D11" s="1"/>
      <c r="E11" s="1"/>
      <c r="F11" s="1"/>
      <c r="G11" s="1"/>
      <c r="H11" s="50"/>
      <c r="I11" s="49"/>
      <c r="J11" s="1"/>
      <c r="K11" s="1"/>
    </row>
    <row r="12" spans="3:11" ht="27" customHeight="1" x14ac:dyDescent="0.25">
      <c r="C12" s="22" t="s">
        <v>25</v>
      </c>
      <c r="D12" s="45" t="s">
        <v>51</v>
      </c>
      <c r="E12" s="48"/>
      <c r="F12" s="44"/>
      <c r="G12" s="47" t="s">
        <v>50</v>
      </c>
      <c r="H12" s="46"/>
      <c r="I12" s="22" t="s">
        <v>49</v>
      </c>
      <c r="J12" s="45" t="s">
        <v>48</v>
      </c>
      <c r="K12" s="44"/>
    </row>
    <row r="13" spans="3:11" ht="24.75" customHeight="1" x14ac:dyDescent="0.25">
      <c r="C13" s="15">
        <v>1</v>
      </c>
      <c r="D13" s="20" t="s">
        <v>68</v>
      </c>
      <c r="E13" s="41"/>
      <c r="F13" s="19"/>
      <c r="G13" s="8" t="s">
        <v>67</v>
      </c>
      <c r="H13" s="7"/>
      <c r="I13" s="40"/>
      <c r="J13" s="43"/>
      <c r="K13" s="42"/>
    </row>
    <row r="14" spans="3:11" ht="29.25" customHeight="1" x14ac:dyDescent="0.25">
      <c r="C14" s="37" t="s">
        <v>64</v>
      </c>
      <c r="D14" s="37"/>
      <c r="E14" s="37"/>
      <c r="F14" s="24"/>
      <c r="G14" s="24"/>
      <c r="H14" s="24"/>
      <c r="I14" s="37" t="s">
        <v>63</v>
      </c>
      <c r="J14" s="24"/>
      <c r="K14" s="24"/>
    </row>
    <row r="15" spans="3:11" x14ac:dyDescent="0.25">
      <c r="C15" s="1"/>
      <c r="D15" s="1"/>
      <c r="E15" s="1"/>
      <c r="F15" s="1"/>
      <c r="G15" s="1"/>
      <c r="H15" s="1"/>
      <c r="I15" s="1"/>
      <c r="J15" s="1"/>
      <c r="K15" s="1"/>
    </row>
    <row r="16" spans="3:11" ht="23.25" customHeight="1" x14ac:dyDescent="0.25">
      <c r="C16" s="14" t="s">
        <v>41</v>
      </c>
      <c r="D16" s="14"/>
      <c r="E16" s="14"/>
      <c r="F16" s="13"/>
      <c r="G16" s="13"/>
      <c r="H16" s="13"/>
      <c r="I16" s="13"/>
      <c r="J16" s="13"/>
      <c r="K16" s="13"/>
    </row>
    <row r="17" spans="3:11" ht="27" customHeight="1" x14ac:dyDescent="0.25">
      <c r="C17" s="36" t="s">
        <v>40</v>
      </c>
      <c r="D17" s="35"/>
      <c r="E17" s="34" t="s">
        <v>39</v>
      </c>
      <c r="F17" s="34" t="s">
        <v>38</v>
      </c>
      <c r="G17" s="36" t="s">
        <v>37</v>
      </c>
      <c r="H17" s="35"/>
      <c r="I17" s="34" t="s">
        <v>36</v>
      </c>
      <c r="J17" s="34" t="s">
        <v>35</v>
      </c>
      <c r="K17" s="34" t="s">
        <v>34</v>
      </c>
    </row>
    <row r="18" spans="3:11" ht="22.7" customHeight="1" x14ac:dyDescent="0.25">
      <c r="C18" s="8" t="s">
        <v>29</v>
      </c>
      <c r="D18" s="7"/>
      <c r="E18" s="6">
        <v>378</v>
      </c>
      <c r="F18" s="15" t="s">
        <v>62</v>
      </c>
      <c r="G18" s="8" t="s">
        <v>60</v>
      </c>
      <c r="H18" s="7"/>
      <c r="I18" s="30">
        <v>46296</v>
      </c>
      <c r="J18" s="30">
        <v>46301</v>
      </c>
      <c r="K18" s="6">
        <f>J18-I18</f>
        <v>5</v>
      </c>
    </row>
    <row r="19" spans="3:11" ht="27" customHeight="1" x14ac:dyDescent="0.25">
      <c r="C19" s="33"/>
      <c r="D19" s="33"/>
      <c r="E19" s="33"/>
      <c r="F19" s="32"/>
      <c r="G19" s="32"/>
      <c r="H19" s="32"/>
      <c r="I19" s="32"/>
      <c r="J19" s="32"/>
      <c r="K19" s="32"/>
    </row>
    <row r="20" spans="3:11" ht="22.7" customHeight="1" x14ac:dyDescent="0.25">
      <c r="C20" s="8" t="s">
        <v>32</v>
      </c>
      <c r="D20" s="7"/>
      <c r="E20" s="6">
        <v>378</v>
      </c>
      <c r="F20" s="15" t="s">
        <v>61</v>
      </c>
      <c r="G20" s="8" t="s">
        <v>60</v>
      </c>
      <c r="H20" s="7"/>
      <c r="I20" s="30">
        <v>46301</v>
      </c>
      <c r="J20" s="30">
        <v>46310</v>
      </c>
      <c r="K20" s="6">
        <f>J20-I20</f>
        <v>9</v>
      </c>
    </row>
    <row r="21" spans="3:11" ht="22.7" customHeight="1" x14ac:dyDescent="0.25">
      <c r="C21" s="33"/>
      <c r="D21" s="33"/>
      <c r="E21" s="33"/>
      <c r="F21" s="32"/>
      <c r="G21" s="32"/>
      <c r="H21" s="32"/>
      <c r="I21" s="32"/>
      <c r="J21" s="32"/>
      <c r="K21" s="32"/>
    </row>
    <row r="22" spans="3:11" ht="22.7" customHeight="1" x14ac:dyDescent="0.25">
      <c r="C22" s="8" t="s">
        <v>29</v>
      </c>
      <c r="D22" s="7"/>
      <c r="E22" s="31">
        <v>378</v>
      </c>
      <c r="F22" s="15" t="str">
        <f>F18</f>
        <v>MASARAT SILVER</v>
      </c>
      <c r="G22" s="8" t="s">
        <v>60</v>
      </c>
      <c r="H22" s="7"/>
      <c r="I22" s="30">
        <v>46310</v>
      </c>
      <c r="J22" s="30">
        <v>46314</v>
      </c>
      <c r="K22" s="6">
        <f>J22-I22</f>
        <v>4</v>
      </c>
    </row>
    <row r="23" spans="3:11" ht="31.5" customHeight="1" x14ac:dyDescent="0.25">
      <c r="C23" s="29"/>
      <c r="D23" s="28"/>
      <c r="E23" s="28"/>
      <c r="F23" s="28"/>
      <c r="G23" s="28"/>
      <c r="H23" s="28"/>
      <c r="I23" s="28"/>
      <c r="J23" s="27" t="s">
        <v>28</v>
      </c>
      <c r="K23" s="26">
        <f>SUM(K22,K20,K18)</f>
        <v>18</v>
      </c>
    </row>
    <row r="24" spans="3:11" x14ac:dyDescent="0.25">
      <c r="C24" s="25" t="s">
        <v>27</v>
      </c>
      <c r="D24" s="25"/>
      <c r="E24" s="25"/>
      <c r="F24" s="24"/>
      <c r="G24" s="24"/>
      <c r="H24" s="24"/>
      <c r="I24" s="24"/>
      <c r="J24" s="24"/>
      <c r="K24" s="24"/>
    </row>
    <row r="25" spans="3:11" x14ac:dyDescent="0.25">
      <c r="C25" s="23"/>
      <c r="D25" s="23"/>
      <c r="E25" s="23"/>
      <c r="F25" s="1"/>
      <c r="G25" s="1"/>
      <c r="H25" s="1"/>
      <c r="I25" s="1"/>
      <c r="J25" s="1"/>
      <c r="K25" s="1"/>
    </row>
    <row r="26" spans="3:11" ht="23.25" customHeight="1" x14ac:dyDescent="0.25">
      <c r="C26" s="14" t="s">
        <v>26</v>
      </c>
      <c r="D26" s="14"/>
      <c r="E26" s="14"/>
      <c r="F26" s="13"/>
      <c r="G26" s="13"/>
      <c r="H26" s="13"/>
      <c r="I26" s="13"/>
      <c r="J26" s="13"/>
      <c r="K26" s="13"/>
    </row>
    <row r="27" spans="3:11" ht="27" customHeight="1" x14ac:dyDescent="0.25">
      <c r="C27" s="22" t="s">
        <v>25</v>
      </c>
      <c r="D27" s="10" t="s">
        <v>24</v>
      </c>
      <c r="E27" s="12" t="s">
        <v>23</v>
      </c>
      <c r="F27" s="11"/>
      <c r="G27" s="10" t="s">
        <v>22</v>
      </c>
      <c r="H27" s="12" t="s">
        <v>21</v>
      </c>
      <c r="I27" s="11"/>
      <c r="J27" s="21" t="s">
        <v>20</v>
      </c>
      <c r="K27" s="10" t="s">
        <v>19</v>
      </c>
    </row>
    <row r="28" spans="3:11" ht="25.5" customHeight="1" x14ac:dyDescent="0.25">
      <c r="C28" s="6">
        <v>1</v>
      </c>
      <c r="D28" s="6">
        <v>317</v>
      </c>
      <c r="E28" s="20" t="s">
        <v>18</v>
      </c>
      <c r="F28" s="19"/>
      <c r="G28" s="6" t="s">
        <v>14</v>
      </c>
      <c r="H28" s="18">
        <v>46296</v>
      </c>
      <c r="I28" s="17"/>
      <c r="J28" s="16"/>
      <c r="K28" s="15"/>
    </row>
    <row r="29" spans="3:11" ht="25.5" customHeight="1" x14ac:dyDescent="0.25">
      <c r="C29" s="6">
        <v>2</v>
      </c>
      <c r="D29" s="6">
        <v>317</v>
      </c>
      <c r="E29" s="20" t="s">
        <v>17</v>
      </c>
      <c r="F29" s="19"/>
      <c r="G29" s="6" t="s">
        <v>14</v>
      </c>
      <c r="H29" s="18">
        <v>46301</v>
      </c>
      <c r="I29" s="17"/>
      <c r="J29" s="16"/>
      <c r="K29" s="15"/>
    </row>
    <row r="30" spans="3:11" ht="25.5" customHeight="1" x14ac:dyDescent="0.25">
      <c r="C30" s="6">
        <v>3</v>
      </c>
      <c r="D30" s="6">
        <v>317</v>
      </c>
      <c r="E30" s="20" t="s">
        <v>16</v>
      </c>
      <c r="F30" s="19"/>
      <c r="G30" s="6" t="s">
        <v>14</v>
      </c>
      <c r="H30" s="18">
        <v>46310</v>
      </c>
      <c r="I30" s="17"/>
      <c r="J30" s="16"/>
      <c r="K30" s="15"/>
    </row>
    <row r="31" spans="3:11" ht="25.5" customHeight="1" x14ac:dyDescent="0.25">
      <c r="C31" s="6">
        <v>4</v>
      </c>
      <c r="D31" s="6">
        <v>317</v>
      </c>
      <c r="E31" s="20" t="s">
        <v>15</v>
      </c>
      <c r="F31" s="19"/>
      <c r="G31" s="6" t="s">
        <v>14</v>
      </c>
      <c r="H31" s="18">
        <v>46314</v>
      </c>
      <c r="I31" s="17"/>
      <c r="J31" s="16"/>
      <c r="K31" s="15"/>
    </row>
    <row r="32" spans="3:11" ht="23.25" customHeight="1" x14ac:dyDescent="0.25">
      <c r="C32" s="14" t="s">
        <v>13</v>
      </c>
      <c r="D32" s="14"/>
      <c r="E32" s="14"/>
      <c r="F32" s="13"/>
      <c r="G32" s="13"/>
      <c r="H32" s="13"/>
      <c r="I32" s="13"/>
      <c r="J32" s="13"/>
      <c r="K32" s="13"/>
    </row>
    <row r="33" spans="3:11" ht="27" customHeight="1" x14ac:dyDescent="0.25">
      <c r="C33" s="12" t="s">
        <v>12</v>
      </c>
      <c r="D33" s="11"/>
      <c r="E33" s="10" t="s">
        <v>11</v>
      </c>
      <c r="F33" s="12" t="s">
        <v>10</v>
      </c>
      <c r="G33" s="11"/>
      <c r="H33" s="10" t="s">
        <v>9</v>
      </c>
      <c r="I33" s="10" t="s">
        <v>8</v>
      </c>
      <c r="J33" s="10" t="s">
        <v>7</v>
      </c>
      <c r="K33" s="10" t="s">
        <v>6</v>
      </c>
    </row>
    <row r="34" spans="3:11" ht="24.75" customHeight="1" x14ac:dyDescent="0.25">
      <c r="C34" s="8"/>
      <c r="D34" s="7"/>
      <c r="E34" s="9">
        <v>46296</v>
      </c>
      <c r="F34" s="8" t="s">
        <v>5</v>
      </c>
      <c r="G34" s="7"/>
      <c r="H34" s="6" t="s">
        <v>2</v>
      </c>
      <c r="I34" s="6" t="s">
        <v>3</v>
      </c>
      <c r="J34" s="5">
        <v>0.33333333333333331</v>
      </c>
      <c r="K34" s="5">
        <v>0.4201388888888889</v>
      </c>
    </row>
    <row r="35" spans="3:11" ht="24.75" customHeight="1" x14ac:dyDescent="0.25">
      <c r="C35" s="8"/>
      <c r="D35" s="7"/>
      <c r="E35" s="9">
        <v>46315</v>
      </c>
      <c r="F35" s="8" t="s">
        <v>4</v>
      </c>
      <c r="G35" s="7"/>
      <c r="H35" s="6" t="s">
        <v>3</v>
      </c>
      <c r="I35" s="6" t="s">
        <v>2</v>
      </c>
      <c r="J35" s="5">
        <v>0.53125</v>
      </c>
      <c r="K35" s="5">
        <v>0.29166666666666669</v>
      </c>
    </row>
    <row r="36" spans="3:11" x14ac:dyDescent="0.25">
      <c r="C36" s="1"/>
      <c r="D36" s="1"/>
      <c r="E36" s="1"/>
      <c r="F36" s="1"/>
      <c r="G36" s="1"/>
      <c r="H36" s="1"/>
      <c r="I36" s="1"/>
      <c r="J36" s="1"/>
      <c r="K36" s="1"/>
    </row>
    <row r="37" spans="3:11" x14ac:dyDescent="0.25">
      <c r="C37" s="4" t="s">
        <v>1</v>
      </c>
      <c r="D37" s="4"/>
      <c r="E37" s="4"/>
      <c r="F37" s="4"/>
      <c r="G37" s="4"/>
      <c r="H37" s="1"/>
      <c r="I37" s="1"/>
      <c r="J37" s="1"/>
      <c r="K37" s="1"/>
    </row>
    <row r="38" spans="3:11" x14ac:dyDescent="0.25">
      <c r="C38" s="3" t="s">
        <v>0</v>
      </c>
      <c r="D38" s="3"/>
      <c r="E38" s="3"/>
      <c r="F38" s="3"/>
      <c r="G38" s="3"/>
      <c r="H38" s="1"/>
      <c r="I38" s="1"/>
      <c r="J38" s="1"/>
      <c r="K38" s="2"/>
    </row>
    <row r="39" spans="3:11" x14ac:dyDescent="0.25">
      <c r="C39" s="1"/>
      <c r="D39" s="1"/>
      <c r="E39" s="1"/>
      <c r="F39" s="1"/>
      <c r="G39" s="1"/>
      <c r="H39" s="1"/>
      <c r="I39" s="1"/>
      <c r="J39" s="1"/>
      <c r="K39" s="1"/>
    </row>
  </sheetData>
  <mergeCells count="49">
    <mergeCell ref="C2:K2"/>
    <mergeCell ref="C3:K3"/>
    <mergeCell ref="C4:K4"/>
    <mergeCell ref="C5:K5"/>
    <mergeCell ref="E7:F7"/>
    <mergeCell ref="G7:H7"/>
    <mergeCell ref="G8:H8"/>
    <mergeCell ref="E10:F10"/>
    <mergeCell ref="H10:I10"/>
    <mergeCell ref="D12:F12"/>
    <mergeCell ref="G12:H12"/>
    <mergeCell ref="J12:K12"/>
    <mergeCell ref="D13:F13"/>
    <mergeCell ref="G13:H13"/>
    <mergeCell ref="J13:K13"/>
    <mergeCell ref="C14:H14"/>
    <mergeCell ref="I14:K14"/>
    <mergeCell ref="C16:K16"/>
    <mergeCell ref="C17:D17"/>
    <mergeCell ref="G17:H17"/>
    <mergeCell ref="C18:D18"/>
    <mergeCell ref="G18:H18"/>
    <mergeCell ref="C19:K19"/>
    <mergeCell ref="C20:D20"/>
    <mergeCell ref="G20:H20"/>
    <mergeCell ref="C21:K21"/>
    <mergeCell ref="C22:D22"/>
    <mergeCell ref="G22:H22"/>
    <mergeCell ref="C24:K24"/>
    <mergeCell ref="C26:K26"/>
    <mergeCell ref="E27:F27"/>
    <mergeCell ref="H27:I27"/>
    <mergeCell ref="F34:G34"/>
    <mergeCell ref="E28:F28"/>
    <mergeCell ref="H28:I28"/>
    <mergeCell ref="E29:F29"/>
    <mergeCell ref="H29:I29"/>
    <mergeCell ref="E30:F30"/>
    <mergeCell ref="H30:I30"/>
    <mergeCell ref="C35:D35"/>
    <mergeCell ref="F35:G35"/>
    <mergeCell ref="C37:G37"/>
    <mergeCell ref="C38:G38"/>
    <mergeCell ref="E31:F31"/>
    <mergeCell ref="H31:I31"/>
    <mergeCell ref="C32:K32"/>
    <mergeCell ref="C33:D33"/>
    <mergeCell ref="F33:G33"/>
    <mergeCell ref="C34:D34"/>
  </mergeCells>
  <printOptions horizontalCentered="1" verticalCentered="1"/>
  <pageMargins left="0.25" right="0.25" top="0.5" bottom="0.5" header="0.3" footer="0.3"/>
  <pageSetup paperSize="9" scale="69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043C7-C24F-4B58-B1B2-A48CFF3E70E7}">
  <sheetPr codeName="Sheet24">
    <pageSetUpPr fitToPage="1"/>
  </sheetPr>
  <dimension ref="C1:K40"/>
  <sheetViews>
    <sheetView showGridLines="0" view="pageBreakPreview" topLeftCell="A5" zoomScale="87" zoomScaleNormal="93" zoomScaleSheetLayoutView="72" workbookViewId="0">
      <selection activeCell="C4" sqref="C4:K4"/>
    </sheetView>
  </sheetViews>
  <sheetFormatPr defaultRowHeight="15" x14ac:dyDescent="0.25"/>
  <cols>
    <col min="3" max="3" width="4.42578125" customWidth="1"/>
    <col min="4" max="4" width="10" customWidth="1"/>
    <col min="5" max="5" width="11.5703125" customWidth="1"/>
    <col min="6" max="6" width="33.28515625" customWidth="1"/>
    <col min="7" max="7" width="21.7109375" bestFit="1" customWidth="1"/>
    <col min="8" max="8" width="9.140625" customWidth="1"/>
    <col min="9" max="9" width="15" customWidth="1"/>
    <col min="10" max="10" width="18.7109375" customWidth="1"/>
    <col min="11" max="11" width="17.7109375" customWidth="1"/>
  </cols>
  <sheetData>
    <row r="1" spans="3:11" x14ac:dyDescent="0.25">
      <c r="F1" t="s">
        <v>59</v>
      </c>
    </row>
    <row r="2" spans="3:11" ht="27.75" x14ac:dyDescent="0.35">
      <c r="C2" s="64" t="s">
        <v>58</v>
      </c>
      <c r="D2" s="64"/>
      <c r="E2" s="64"/>
      <c r="F2" s="63"/>
      <c r="G2" s="63"/>
      <c r="H2" s="63"/>
      <c r="I2" s="63"/>
      <c r="J2" s="63"/>
      <c r="K2" s="63"/>
    </row>
    <row r="3" spans="3:11" x14ac:dyDescent="0.25">
      <c r="C3" s="62"/>
      <c r="D3" s="62"/>
      <c r="E3" s="62"/>
      <c r="F3" s="61"/>
      <c r="G3" s="61"/>
      <c r="H3" s="61"/>
      <c r="I3" s="61"/>
      <c r="J3" s="61"/>
      <c r="K3" s="61"/>
    </row>
    <row r="4" spans="3:11" x14ac:dyDescent="0.25">
      <c r="C4" s="62" t="s">
        <v>57</v>
      </c>
      <c r="D4" s="62"/>
      <c r="E4" s="62"/>
      <c r="F4" s="61"/>
      <c r="G4" s="61"/>
      <c r="H4" s="61"/>
      <c r="I4" s="61"/>
      <c r="J4" s="61"/>
      <c r="K4" s="61"/>
    </row>
    <row r="5" spans="3:11" ht="71.45" customHeight="1" thickBot="1" x14ac:dyDescent="0.3">
      <c r="C5" s="60" t="s">
        <v>56</v>
      </c>
      <c r="D5" s="60"/>
      <c r="E5" s="60"/>
      <c r="F5" s="59"/>
      <c r="G5" s="59"/>
      <c r="H5" s="59"/>
      <c r="I5" s="59"/>
      <c r="J5" s="59"/>
      <c r="K5" s="59"/>
    </row>
    <row r="6" spans="3:11" ht="8.4499999999999993" customHeight="1" x14ac:dyDescent="0.25">
      <c r="C6" s="58"/>
      <c r="D6" s="58"/>
      <c r="E6" s="58"/>
      <c r="F6" s="1"/>
      <c r="G6" s="1"/>
      <c r="H6" s="1"/>
      <c r="I6" s="1"/>
      <c r="J6" s="1"/>
      <c r="K6" s="1"/>
    </row>
    <row r="7" spans="3:11" x14ac:dyDescent="0.25">
      <c r="C7" s="50"/>
      <c r="D7" s="50"/>
      <c r="E7" s="57" t="s">
        <v>55</v>
      </c>
      <c r="F7" s="57"/>
      <c r="G7" s="56" t="s">
        <v>54</v>
      </c>
      <c r="H7" s="56"/>
      <c r="I7" s="1"/>
      <c r="J7" s="50"/>
      <c r="K7" s="1"/>
    </row>
    <row r="8" spans="3:11" x14ac:dyDescent="0.25">
      <c r="C8" s="1"/>
      <c r="D8" s="1"/>
      <c r="E8" s="1"/>
      <c r="F8" s="1"/>
      <c r="G8" s="56"/>
      <c r="H8" s="56"/>
      <c r="I8" s="1"/>
      <c r="J8" s="1"/>
      <c r="K8" s="1"/>
    </row>
    <row r="9" spans="3:11" x14ac:dyDescent="0.25">
      <c r="C9" s="1"/>
      <c r="D9" s="1"/>
      <c r="E9" s="1"/>
      <c r="F9" s="1"/>
      <c r="G9" s="1"/>
      <c r="H9" s="50"/>
      <c r="I9" s="1"/>
      <c r="J9" s="1"/>
      <c r="K9" s="1"/>
    </row>
    <row r="10" spans="3:11" ht="21.75" customHeight="1" thickBot="1" x14ac:dyDescent="0.3">
      <c r="C10" s="51"/>
      <c r="D10" s="55" t="s">
        <v>53</v>
      </c>
      <c r="E10" s="54" t="str">
        <f>D13</f>
        <v>Muhammad Nasir Shaikh/mr</v>
      </c>
      <c r="F10" s="54"/>
      <c r="G10" s="53"/>
      <c r="H10" s="52" t="s">
        <v>52</v>
      </c>
      <c r="I10" s="52"/>
      <c r="J10" s="51"/>
      <c r="K10" s="51"/>
    </row>
    <row r="11" spans="3:11" x14ac:dyDescent="0.25">
      <c r="C11" s="1"/>
      <c r="D11" s="1"/>
      <c r="E11" s="1"/>
      <c r="F11" s="1"/>
      <c r="G11" s="1"/>
      <c r="H11" s="50"/>
      <c r="I11" s="49"/>
      <c r="J11" s="1"/>
      <c r="K11" s="1"/>
    </row>
    <row r="12" spans="3:11" ht="27" customHeight="1" x14ac:dyDescent="0.25">
      <c r="C12" s="22" t="s">
        <v>25</v>
      </c>
      <c r="D12" s="45" t="s">
        <v>51</v>
      </c>
      <c r="E12" s="48"/>
      <c r="F12" s="44"/>
      <c r="G12" s="47" t="s">
        <v>50</v>
      </c>
      <c r="H12" s="46"/>
      <c r="I12" s="22" t="s">
        <v>49</v>
      </c>
      <c r="J12" s="45" t="s">
        <v>48</v>
      </c>
      <c r="K12" s="44"/>
    </row>
    <row r="13" spans="3:11" ht="24.75" customHeight="1" x14ac:dyDescent="0.25">
      <c r="C13" s="15">
        <v>1</v>
      </c>
      <c r="D13" s="20" t="s">
        <v>72</v>
      </c>
      <c r="E13" s="41"/>
      <c r="F13" s="19"/>
      <c r="G13" s="8" t="s">
        <v>71</v>
      </c>
      <c r="H13" s="7"/>
      <c r="I13" s="40"/>
      <c r="J13" s="43"/>
      <c r="K13" s="42"/>
    </row>
    <row r="14" spans="3:11" ht="24.75" customHeight="1" x14ac:dyDescent="0.25">
      <c r="C14" s="15">
        <v>1</v>
      </c>
      <c r="D14" s="20" t="s">
        <v>70</v>
      </c>
      <c r="E14" s="41"/>
      <c r="F14" s="19"/>
      <c r="G14" s="8" t="s">
        <v>69</v>
      </c>
      <c r="H14" s="7"/>
      <c r="I14" s="40"/>
      <c r="J14" s="43"/>
      <c r="K14" s="42"/>
    </row>
    <row r="15" spans="3:11" ht="29.25" customHeight="1" x14ac:dyDescent="0.25">
      <c r="C15" s="37" t="s">
        <v>43</v>
      </c>
      <c r="D15" s="37"/>
      <c r="E15" s="37"/>
      <c r="F15" s="24"/>
      <c r="G15" s="24"/>
      <c r="H15" s="24"/>
      <c r="I15" s="37" t="s">
        <v>42</v>
      </c>
      <c r="J15" s="24"/>
      <c r="K15" s="24"/>
    </row>
    <row r="16" spans="3:11" x14ac:dyDescent="0.25">
      <c r="C16" s="1"/>
      <c r="D16" s="1"/>
      <c r="E16" s="1"/>
      <c r="F16" s="1"/>
      <c r="G16" s="1"/>
      <c r="H16" s="1"/>
      <c r="I16" s="1"/>
      <c r="J16" s="1"/>
      <c r="K16" s="1"/>
    </row>
    <row r="17" spans="3:11" ht="23.25" customHeight="1" x14ac:dyDescent="0.25">
      <c r="C17" s="14" t="s">
        <v>41</v>
      </c>
      <c r="D17" s="14"/>
      <c r="E17" s="14"/>
      <c r="F17" s="13"/>
      <c r="G17" s="13"/>
      <c r="H17" s="13"/>
      <c r="I17" s="13"/>
      <c r="J17" s="13"/>
      <c r="K17" s="13"/>
    </row>
    <row r="18" spans="3:11" ht="27" customHeight="1" x14ac:dyDescent="0.25">
      <c r="C18" s="36" t="s">
        <v>40</v>
      </c>
      <c r="D18" s="35"/>
      <c r="E18" s="34" t="s">
        <v>39</v>
      </c>
      <c r="F18" s="34" t="s">
        <v>38</v>
      </c>
      <c r="G18" s="36" t="s">
        <v>37</v>
      </c>
      <c r="H18" s="35"/>
      <c r="I18" s="34" t="s">
        <v>36</v>
      </c>
      <c r="J18" s="34" t="s">
        <v>35</v>
      </c>
      <c r="K18" s="34" t="s">
        <v>34</v>
      </c>
    </row>
    <row r="19" spans="3:11" ht="22.7" customHeight="1" x14ac:dyDescent="0.25">
      <c r="C19" s="8" t="s">
        <v>29</v>
      </c>
      <c r="D19" s="7"/>
      <c r="E19" s="6">
        <v>378</v>
      </c>
      <c r="F19" s="15" t="s">
        <v>62</v>
      </c>
      <c r="G19" s="8" t="s">
        <v>60</v>
      </c>
      <c r="H19" s="7"/>
      <c r="I19" s="30">
        <v>46296</v>
      </c>
      <c r="J19" s="30">
        <v>46301</v>
      </c>
      <c r="K19" s="6">
        <f>J19-I19</f>
        <v>5</v>
      </c>
    </row>
    <row r="20" spans="3:11" ht="27" customHeight="1" x14ac:dyDescent="0.25">
      <c r="C20" s="33"/>
      <c r="D20" s="33"/>
      <c r="E20" s="33"/>
      <c r="F20" s="32"/>
      <c r="G20" s="32"/>
      <c r="H20" s="32"/>
      <c r="I20" s="32"/>
      <c r="J20" s="32"/>
      <c r="K20" s="32"/>
    </row>
    <row r="21" spans="3:11" ht="22.7" customHeight="1" x14ac:dyDescent="0.25">
      <c r="C21" s="8" t="s">
        <v>32</v>
      </c>
      <c r="D21" s="7"/>
      <c r="E21" s="6">
        <v>378</v>
      </c>
      <c r="F21" s="15" t="s">
        <v>61</v>
      </c>
      <c r="G21" s="8" t="s">
        <v>60</v>
      </c>
      <c r="H21" s="7"/>
      <c r="I21" s="30">
        <v>46301</v>
      </c>
      <c r="J21" s="30">
        <v>46310</v>
      </c>
      <c r="K21" s="6">
        <f>J21-I21</f>
        <v>9</v>
      </c>
    </row>
    <row r="22" spans="3:11" ht="22.7" customHeight="1" x14ac:dyDescent="0.25">
      <c r="C22" s="33"/>
      <c r="D22" s="33"/>
      <c r="E22" s="33"/>
      <c r="F22" s="32"/>
      <c r="G22" s="32"/>
      <c r="H22" s="32"/>
      <c r="I22" s="32"/>
      <c r="J22" s="32"/>
      <c r="K22" s="32"/>
    </row>
    <row r="23" spans="3:11" ht="22.7" customHeight="1" x14ac:dyDescent="0.25">
      <c r="C23" s="8" t="s">
        <v>29</v>
      </c>
      <c r="D23" s="7"/>
      <c r="E23" s="31">
        <v>378</v>
      </c>
      <c r="F23" s="15" t="str">
        <f>F19</f>
        <v>MASARAT SILVER</v>
      </c>
      <c r="G23" s="8" t="s">
        <v>60</v>
      </c>
      <c r="H23" s="7"/>
      <c r="I23" s="30">
        <v>46310</v>
      </c>
      <c r="J23" s="30">
        <v>46314</v>
      </c>
      <c r="K23" s="6">
        <f>J23-I23</f>
        <v>4</v>
      </c>
    </row>
    <row r="24" spans="3:11" ht="31.5" customHeight="1" x14ac:dyDescent="0.25">
      <c r="C24" s="29"/>
      <c r="D24" s="28"/>
      <c r="E24" s="28"/>
      <c r="F24" s="28"/>
      <c r="G24" s="28"/>
      <c r="H24" s="28"/>
      <c r="I24" s="28"/>
      <c r="J24" s="27" t="s">
        <v>28</v>
      </c>
      <c r="K24" s="26">
        <f>SUM(K23,K21,K19)</f>
        <v>18</v>
      </c>
    </row>
    <row r="25" spans="3:11" x14ac:dyDescent="0.25">
      <c r="C25" s="25" t="s">
        <v>27</v>
      </c>
      <c r="D25" s="25"/>
      <c r="E25" s="25"/>
      <c r="F25" s="24"/>
      <c r="G25" s="24"/>
      <c r="H25" s="24"/>
      <c r="I25" s="24"/>
      <c r="J25" s="24"/>
      <c r="K25" s="24"/>
    </row>
    <row r="26" spans="3:11" x14ac:dyDescent="0.25">
      <c r="C26" s="23"/>
      <c r="D26" s="23"/>
      <c r="E26" s="23"/>
      <c r="F26" s="1"/>
      <c r="G26" s="1"/>
      <c r="H26" s="1"/>
      <c r="I26" s="1"/>
      <c r="J26" s="1"/>
      <c r="K26" s="1"/>
    </row>
    <row r="27" spans="3:11" ht="23.25" customHeight="1" x14ac:dyDescent="0.25">
      <c r="C27" s="14" t="s">
        <v>26</v>
      </c>
      <c r="D27" s="14"/>
      <c r="E27" s="14"/>
      <c r="F27" s="13"/>
      <c r="G27" s="13"/>
      <c r="H27" s="13"/>
      <c r="I27" s="13"/>
      <c r="J27" s="13"/>
      <c r="K27" s="13"/>
    </row>
    <row r="28" spans="3:11" ht="27" customHeight="1" x14ac:dyDescent="0.25">
      <c r="C28" s="22" t="s">
        <v>25</v>
      </c>
      <c r="D28" s="10" t="s">
        <v>24</v>
      </c>
      <c r="E28" s="12" t="s">
        <v>23</v>
      </c>
      <c r="F28" s="11"/>
      <c r="G28" s="10" t="s">
        <v>22</v>
      </c>
      <c r="H28" s="12" t="s">
        <v>21</v>
      </c>
      <c r="I28" s="11"/>
      <c r="J28" s="21" t="s">
        <v>20</v>
      </c>
      <c r="K28" s="10" t="s">
        <v>19</v>
      </c>
    </row>
    <row r="29" spans="3:11" ht="25.5" customHeight="1" x14ac:dyDescent="0.25">
      <c r="C29" s="6">
        <v>1</v>
      </c>
      <c r="D29" s="6">
        <v>317</v>
      </c>
      <c r="E29" s="20" t="s">
        <v>18</v>
      </c>
      <c r="F29" s="19"/>
      <c r="G29" s="6" t="s">
        <v>14</v>
      </c>
      <c r="H29" s="18">
        <v>46296</v>
      </c>
      <c r="I29" s="17"/>
      <c r="J29" s="16"/>
      <c r="K29" s="15"/>
    </row>
    <row r="30" spans="3:11" ht="25.5" customHeight="1" x14ac:dyDescent="0.25">
      <c r="C30" s="6">
        <v>2</v>
      </c>
      <c r="D30" s="6">
        <v>317</v>
      </c>
      <c r="E30" s="20" t="s">
        <v>17</v>
      </c>
      <c r="F30" s="19"/>
      <c r="G30" s="6" t="s">
        <v>14</v>
      </c>
      <c r="H30" s="18">
        <v>46301</v>
      </c>
      <c r="I30" s="17"/>
      <c r="J30" s="16"/>
      <c r="K30" s="15"/>
    </row>
    <row r="31" spans="3:11" ht="25.5" customHeight="1" x14ac:dyDescent="0.25">
      <c r="C31" s="6">
        <v>3</v>
      </c>
      <c r="D31" s="6">
        <v>317</v>
      </c>
      <c r="E31" s="20" t="s">
        <v>16</v>
      </c>
      <c r="F31" s="19"/>
      <c r="G31" s="6" t="s">
        <v>14</v>
      </c>
      <c r="H31" s="18">
        <v>46310</v>
      </c>
      <c r="I31" s="17"/>
      <c r="J31" s="16"/>
      <c r="K31" s="15"/>
    </row>
    <row r="32" spans="3:11" ht="25.5" customHeight="1" x14ac:dyDescent="0.25">
      <c r="C32" s="6">
        <v>4</v>
      </c>
      <c r="D32" s="6">
        <v>317</v>
      </c>
      <c r="E32" s="20" t="s">
        <v>15</v>
      </c>
      <c r="F32" s="19"/>
      <c r="G32" s="6" t="s">
        <v>14</v>
      </c>
      <c r="H32" s="18">
        <v>46314</v>
      </c>
      <c r="I32" s="17"/>
      <c r="J32" s="16"/>
      <c r="K32" s="15"/>
    </row>
    <row r="33" spans="3:11" ht="23.25" customHeight="1" x14ac:dyDescent="0.25">
      <c r="C33" s="14" t="s">
        <v>13</v>
      </c>
      <c r="D33" s="14"/>
      <c r="E33" s="14"/>
      <c r="F33" s="13"/>
      <c r="G33" s="13"/>
      <c r="H33" s="13"/>
      <c r="I33" s="13"/>
      <c r="J33" s="13"/>
      <c r="K33" s="13"/>
    </row>
    <row r="34" spans="3:11" ht="27" customHeight="1" x14ac:dyDescent="0.25">
      <c r="C34" s="12" t="s">
        <v>12</v>
      </c>
      <c r="D34" s="11"/>
      <c r="E34" s="10" t="s">
        <v>11</v>
      </c>
      <c r="F34" s="12" t="s">
        <v>10</v>
      </c>
      <c r="G34" s="11"/>
      <c r="H34" s="10" t="s">
        <v>9</v>
      </c>
      <c r="I34" s="10" t="s">
        <v>8</v>
      </c>
      <c r="J34" s="10" t="s">
        <v>7</v>
      </c>
      <c r="K34" s="10" t="s">
        <v>6</v>
      </c>
    </row>
    <row r="35" spans="3:11" ht="24.75" customHeight="1" x14ac:dyDescent="0.25">
      <c r="C35" s="8"/>
      <c r="D35" s="7"/>
      <c r="E35" s="9">
        <v>46296</v>
      </c>
      <c r="F35" s="8" t="s">
        <v>5</v>
      </c>
      <c r="G35" s="7"/>
      <c r="H35" s="6" t="s">
        <v>2</v>
      </c>
      <c r="I35" s="6" t="s">
        <v>3</v>
      </c>
      <c r="J35" s="5">
        <v>0.33333333333333331</v>
      </c>
      <c r="K35" s="5">
        <v>0.4201388888888889</v>
      </c>
    </row>
    <row r="36" spans="3:11" ht="24.75" customHeight="1" x14ac:dyDescent="0.25">
      <c r="C36" s="8"/>
      <c r="D36" s="7"/>
      <c r="E36" s="9">
        <v>46315</v>
      </c>
      <c r="F36" s="8" t="s">
        <v>4</v>
      </c>
      <c r="G36" s="7"/>
      <c r="H36" s="6" t="s">
        <v>3</v>
      </c>
      <c r="I36" s="6" t="s">
        <v>2</v>
      </c>
      <c r="J36" s="5">
        <v>0.53125</v>
      </c>
      <c r="K36" s="5">
        <v>0.29166666666666669</v>
      </c>
    </row>
    <row r="37" spans="3:11" x14ac:dyDescent="0.25">
      <c r="C37" s="1"/>
      <c r="D37" s="1"/>
      <c r="E37" s="1"/>
      <c r="F37" s="1"/>
      <c r="G37" s="1"/>
      <c r="H37" s="1"/>
      <c r="I37" s="1"/>
      <c r="J37" s="1"/>
      <c r="K37" s="1"/>
    </row>
    <row r="38" spans="3:11" x14ac:dyDescent="0.25">
      <c r="C38" s="4" t="s">
        <v>1</v>
      </c>
      <c r="D38" s="4"/>
      <c r="E38" s="4"/>
      <c r="F38" s="4"/>
      <c r="G38" s="4"/>
      <c r="H38" s="1"/>
      <c r="I38" s="1"/>
      <c r="J38" s="1"/>
      <c r="K38" s="1"/>
    </row>
    <row r="39" spans="3:11" x14ac:dyDescent="0.25">
      <c r="C39" s="3" t="s">
        <v>0</v>
      </c>
      <c r="D39" s="3"/>
      <c r="E39" s="3"/>
      <c r="F39" s="3"/>
      <c r="G39" s="3"/>
      <c r="H39" s="1"/>
      <c r="I39" s="1"/>
      <c r="J39" s="1"/>
      <c r="K39" s="2"/>
    </row>
    <row r="40" spans="3:11" x14ac:dyDescent="0.25">
      <c r="C40" s="1"/>
      <c r="D40" s="1"/>
      <c r="E40" s="1"/>
      <c r="F40" s="1"/>
      <c r="G40" s="1"/>
      <c r="H40" s="1"/>
      <c r="I40" s="1"/>
      <c r="J40" s="1"/>
      <c r="K40" s="1"/>
    </row>
  </sheetData>
  <mergeCells count="52">
    <mergeCell ref="C2:K2"/>
    <mergeCell ref="C3:K3"/>
    <mergeCell ref="C4:K4"/>
    <mergeCell ref="C5:K5"/>
    <mergeCell ref="E7:F7"/>
    <mergeCell ref="G7:H7"/>
    <mergeCell ref="G8:H8"/>
    <mergeCell ref="E10:F10"/>
    <mergeCell ref="H10:I10"/>
    <mergeCell ref="D12:F12"/>
    <mergeCell ref="G12:H12"/>
    <mergeCell ref="J12:K12"/>
    <mergeCell ref="D13:F13"/>
    <mergeCell ref="G13:H13"/>
    <mergeCell ref="J13:K13"/>
    <mergeCell ref="C15:H15"/>
    <mergeCell ref="I15:K15"/>
    <mergeCell ref="C17:K17"/>
    <mergeCell ref="J14:K14"/>
    <mergeCell ref="C18:D18"/>
    <mergeCell ref="G18:H18"/>
    <mergeCell ref="C19:D19"/>
    <mergeCell ref="G19:H19"/>
    <mergeCell ref="C20:K20"/>
    <mergeCell ref="C21:D21"/>
    <mergeCell ref="G21:H21"/>
    <mergeCell ref="C22:K22"/>
    <mergeCell ref="C23:D23"/>
    <mergeCell ref="G23:H23"/>
    <mergeCell ref="C25:K25"/>
    <mergeCell ref="C27:K27"/>
    <mergeCell ref="E28:F28"/>
    <mergeCell ref="H28:I28"/>
    <mergeCell ref="F34:G34"/>
    <mergeCell ref="C35:D35"/>
    <mergeCell ref="F35:G35"/>
    <mergeCell ref="E29:F29"/>
    <mergeCell ref="H29:I29"/>
    <mergeCell ref="E30:F30"/>
    <mergeCell ref="H30:I30"/>
    <mergeCell ref="E31:F31"/>
    <mergeCell ref="H31:I31"/>
    <mergeCell ref="C36:D36"/>
    <mergeCell ref="F36:G36"/>
    <mergeCell ref="C38:G38"/>
    <mergeCell ref="C39:G39"/>
    <mergeCell ref="D14:F14"/>
    <mergeCell ref="G14:H14"/>
    <mergeCell ref="E32:F32"/>
    <mergeCell ref="H32:I32"/>
    <mergeCell ref="C33:K33"/>
    <mergeCell ref="C34:D34"/>
  </mergeCells>
  <printOptions horizontalCentered="1" verticalCentered="1"/>
  <pageMargins left="0.25" right="0.25" top="0.5" bottom="0.5" header="0.3" footer="0.3"/>
  <pageSetup paperSize="9" scale="69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9B80A-595F-43E0-95C5-2FA4254CA80D}">
  <sheetPr codeName="Sheet25">
    <pageSetUpPr fitToPage="1"/>
  </sheetPr>
  <dimension ref="C1:K40"/>
  <sheetViews>
    <sheetView showGridLines="0" view="pageBreakPreview" zoomScale="87" zoomScaleNormal="93" zoomScaleSheetLayoutView="72" workbookViewId="0">
      <selection activeCell="C4" sqref="C4:K4"/>
    </sheetView>
  </sheetViews>
  <sheetFormatPr defaultRowHeight="15" x14ac:dyDescent="0.25"/>
  <cols>
    <col min="3" max="3" width="4.42578125" customWidth="1"/>
    <col min="4" max="4" width="10" customWidth="1"/>
    <col min="5" max="5" width="11.5703125" customWidth="1"/>
    <col min="6" max="6" width="33.28515625" customWidth="1"/>
    <col min="7" max="7" width="21.7109375" bestFit="1" customWidth="1"/>
    <col min="8" max="8" width="9.140625" customWidth="1"/>
    <col min="9" max="9" width="15" customWidth="1"/>
    <col min="10" max="10" width="18.7109375" customWidth="1"/>
    <col min="11" max="11" width="17.7109375" customWidth="1"/>
  </cols>
  <sheetData>
    <row r="1" spans="3:11" x14ac:dyDescent="0.25">
      <c r="F1" t="s">
        <v>59</v>
      </c>
    </row>
    <row r="2" spans="3:11" ht="27.75" x14ac:dyDescent="0.35">
      <c r="C2" s="64" t="s">
        <v>58</v>
      </c>
      <c r="D2" s="64"/>
      <c r="E2" s="64"/>
      <c r="F2" s="63"/>
      <c r="G2" s="63"/>
      <c r="H2" s="63"/>
      <c r="I2" s="63"/>
      <c r="J2" s="63"/>
      <c r="K2" s="63"/>
    </row>
    <row r="3" spans="3:11" x14ac:dyDescent="0.25">
      <c r="C3" s="62"/>
      <c r="D3" s="62"/>
      <c r="E3" s="62"/>
      <c r="F3" s="61"/>
      <c r="G3" s="61"/>
      <c r="H3" s="61"/>
      <c r="I3" s="61"/>
      <c r="J3" s="61"/>
      <c r="K3" s="61"/>
    </row>
    <row r="4" spans="3:11" x14ac:dyDescent="0.25">
      <c r="C4" s="62" t="s">
        <v>57</v>
      </c>
      <c r="D4" s="62"/>
      <c r="E4" s="62"/>
      <c r="F4" s="61"/>
      <c r="G4" s="61"/>
      <c r="H4" s="61"/>
      <c r="I4" s="61"/>
      <c r="J4" s="61"/>
      <c r="K4" s="61"/>
    </row>
    <row r="5" spans="3:11" ht="71.45" customHeight="1" thickBot="1" x14ac:dyDescent="0.3">
      <c r="C5" s="60" t="s">
        <v>56</v>
      </c>
      <c r="D5" s="60"/>
      <c r="E5" s="60"/>
      <c r="F5" s="59"/>
      <c r="G5" s="59"/>
      <c r="H5" s="59"/>
      <c r="I5" s="59"/>
      <c r="J5" s="59"/>
      <c r="K5" s="59"/>
    </row>
    <row r="6" spans="3:11" ht="8.4499999999999993" customHeight="1" x14ac:dyDescent="0.25">
      <c r="C6" s="58"/>
      <c r="D6" s="58"/>
      <c r="E6" s="58"/>
      <c r="F6" s="1"/>
      <c r="G6" s="1"/>
      <c r="H6" s="1"/>
      <c r="I6" s="1"/>
      <c r="J6" s="1"/>
      <c r="K6" s="1"/>
    </row>
    <row r="7" spans="3:11" x14ac:dyDescent="0.25">
      <c r="C7" s="50"/>
      <c r="D7" s="50"/>
      <c r="E7" s="57" t="s">
        <v>55</v>
      </c>
      <c r="F7" s="57"/>
      <c r="G7" s="56" t="s">
        <v>54</v>
      </c>
      <c r="H7" s="56"/>
      <c r="I7" s="1"/>
      <c r="J7" s="50"/>
      <c r="K7" s="1"/>
    </row>
    <row r="8" spans="3:11" x14ac:dyDescent="0.25">
      <c r="C8" s="1"/>
      <c r="D8" s="1"/>
      <c r="E8" s="1"/>
      <c r="F8" s="1"/>
      <c r="G8" s="56"/>
      <c r="H8" s="56"/>
      <c r="I8" s="1"/>
      <c r="J8" s="1"/>
      <c r="K8" s="1"/>
    </row>
    <row r="9" spans="3:11" x14ac:dyDescent="0.25">
      <c r="C9" s="1"/>
      <c r="D9" s="1"/>
      <c r="E9" s="1"/>
      <c r="F9" s="1"/>
      <c r="G9" s="1"/>
      <c r="H9" s="50"/>
      <c r="I9" s="1"/>
      <c r="J9" s="1"/>
      <c r="K9" s="1"/>
    </row>
    <row r="10" spans="3:11" ht="21.75" customHeight="1" thickBot="1" x14ac:dyDescent="0.3">
      <c r="C10" s="51"/>
      <c r="D10" s="55" t="s">
        <v>53</v>
      </c>
      <c r="E10" s="54" t="str">
        <f>D13</f>
        <v>MUHAMMAD IDREES /MR</v>
      </c>
      <c r="F10" s="54"/>
      <c r="G10" s="53"/>
      <c r="H10" s="52" t="s">
        <v>52</v>
      </c>
      <c r="I10" s="52"/>
      <c r="J10" s="51"/>
      <c r="K10" s="51"/>
    </row>
    <row r="11" spans="3:11" x14ac:dyDescent="0.25">
      <c r="C11" s="1"/>
      <c r="D11" s="1"/>
      <c r="E11" s="1"/>
      <c r="F11" s="1"/>
      <c r="G11" s="1"/>
      <c r="H11" s="50"/>
      <c r="I11" s="49"/>
      <c r="J11" s="1"/>
      <c r="K11" s="1"/>
    </row>
    <row r="12" spans="3:11" ht="27" customHeight="1" x14ac:dyDescent="0.25">
      <c r="C12" s="22" t="s">
        <v>25</v>
      </c>
      <c r="D12" s="45" t="s">
        <v>51</v>
      </c>
      <c r="E12" s="48"/>
      <c r="F12" s="44"/>
      <c r="G12" s="47" t="s">
        <v>50</v>
      </c>
      <c r="H12" s="46"/>
      <c r="I12" s="22" t="s">
        <v>49</v>
      </c>
      <c r="J12" s="45" t="s">
        <v>48</v>
      </c>
      <c r="K12" s="44"/>
    </row>
    <row r="13" spans="3:11" ht="24.75" customHeight="1" x14ac:dyDescent="0.25">
      <c r="C13" s="15">
        <v>1</v>
      </c>
      <c r="D13" s="20" t="s">
        <v>76</v>
      </c>
      <c r="E13" s="41"/>
      <c r="F13" s="19"/>
      <c r="G13" s="8" t="s">
        <v>75</v>
      </c>
      <c r="H13" s="7"/>
      <c r="I13" s="40"/>
      <c r="J13" s="43"/>
      <c r="K13" s="42"/>
    </row>
    <row r="14" spans="3:11" ht="24.75" customHeight="1" x14ac:dyDescent="0.25">
      <c r="C14" s="15">
        <v>1</v>
      </c>
      <c r="D14" s="20" t="s">
        <v>74</v>
      </c>
      <c r="E14" s="41"/>
      <c r="F14" s="19"/>
      <c r="G14" s="8" t="s">
        <v>73</v>
      </c>
      <c r="H14" s="7"/>
      <c r="I14" s="40"/>
      <c r="J14" s="43"/>
      <c r="K14" s="42"/>
    </row>
    <row r="15" spans="3:11" ht="29.25" customHeight="1" x14ac:dyDescent="0.25">
      <c r="C15" s="37" t="s">
        <v>43</v>
      </c>
      <c r="D15" s="37"/>
      <c r="E15" s="37"/>
      <c r="F15" s="24"/>
      <c r="G15" s="24"/>
      <c r="H15" s="24"/>
      <c r="I15" s="37" t="s">
        <v>42</v>
      </c>
      <c r="J15" s="24"/>
      <c r="K15" s="24"/>
    </row>
    <row r="16" spans="3:11" x14ac:dyDescent="0.25">
      <c r="C16" s="1"/>
      <c r="D16" s="1"/>
      <c r="E16" s="1"/>
      <c r="F16" s="1"/>
      <c r="G16" s="1"/>
      <c r="H16" s="1"/>
      <c r="I16" s="1"/>
      <c r="J16" s="1"/>
      <c r="K16" s="1"/>
    </row>
    <row r="17" spans="3:11" ht="23.25" customHeight="1" x14ac:dyDescent="0.25">
      <c r="C17" s="14" t="s">
        <v>41</v>
      </c>
      <c r="D17" s="14"/>
      <c r="E17" s="14"/>
      <c r="F17" s="13"/>
      <c r="G17" s="13"/>
      <c r="H17" s="13"/>
      <c r="I17" s="13"/>
      <c r="J17" s="13"/>
      <c r="K17" s="13"/>
    </row>
    <row r="18" spans="3:11" ht="27" customHeight="1" x14ac:dyDescent="0.25">
      <c r="C18" s="36" t="s">
        <v>40</v>
      </c>
      <c r="D18" s="35"/>
      <c r="E18" s="34" t="s">
        <v>39</v>
      </c>
      <c r="F18" s="34" t="s">
        <v>38</v>
      </c>
      <c r="G18" s="36" t="s">
        <v>37</v>
      </c>
      <c r="H18" s="35"/>
      <c r="I18" s="34" t="s">
        <v>36</v>
      </c>
      <c r="J18" s="34" t="s">
        <v>35</v>
      </c>
      <c r="K18" s="34" t="s">
        <v>34</v>
      </c>
    </row>
    <row r="19" spans="3:11" ht="22.7" customHeight="1" x14ac:dyDescent="0.25">
      <c r="C19" s="8" t="s">
        <v>29</v>
      </c>
      <c r="D19" s="7"/>
      <c r="E19" s="6">
        <v>378</v>
      </c>
      <c r="F19" s="15" t="s">
        <v>62</v>
      </c>
      <c r="G19" s="8" t="s">
        <v>60</v>
      </c>
      <c r="H19" s="7"/>
      <c r="I19" s="30">
        <v>46296</v>
      </c>
      <c r="J19" s="30">
        <v>46301</v>
      </c>
      <c r="K19" s="6">
        <f>J19-I19</f>
        <v>5</v>
      </c>
    </row>
    <row r="20" spans="3:11" ht="27" customHeight="1" x14ac:dyDescent="0.25">
      <c r="C20" s="33"/>
      <c r="D20" s="33"/>
      <c r="E20" s="33"/>
      <c r="F20" s="32"/>
      <c r="G20" s="32"/>
      <c r="H20" s="32"/>
      <c r="I20" s="32"/>
      <c r="J20" s="32"/>
      <c r="K20" s="32"/>
    </row>
    <row r="21" spans="3:11" ht="22.7" customHeight="1" x14ac:dyDescent="0.25">
      <c r="C21" s="8" t="s">
        <v>32</v>
      </c>
      <c r="D21" s="7"/>
      <c r="E21" s="6">
        <v>378</v>
      </c>
      <c r="F21" s="15" t="s">
        <v>61</v>
      </c>
      <c r="G21" s="8" t="s">
        <v>60</v>
      </c>
      <c r="H21" s="7"/>
      <c r="I21" s="30">
        <v>46301</v>
      </c>
      <c r="J21" s="30">
        <v>46310</v>
      </c>
      <c r="K21" s="6">
        <f>J21-I21</f>
        <v>9</v>
      </c>
    </row>
    <row r="22" spans="3:11" ht="22.7" customHeight="1" x14ac:dyDescent="0.25">
      <c r="C22" s="33"/>
      <c r="D22" s="33"/>
      <c r="E22" s="33"/>
      <c r="F22" s="32"/>
      <c r="G22" s="32"/>
      <c r="H22" s="32"/>
      <c r="I22" s="32"/>
      <c r="J22" s="32"/>
      <c r="K22" s="32"/>
    </row>
    <row r="23" spans="3:11" ht="22.7" customHeight="1" x14ac:dyDescent="0.25">
      <c r="C23" s="8" t="s">
        <v>29</v>
      </c>
      <c r="D23" s="7"/>
      <c r="E23" s="31">
        <v>378</v>
      </c>
      <c r="F23" s="15" t="str">
        <f>F19</f>
        <v>MASARAT SILVER</v>
      </c>
      <c r="G23" s="8" t="s">
        <v>60</v>
      </c>
      <c r="H23" s="7"/>
      <c r="I23" s="30">
        <v>46310</v>
      </c>
      <c r="J23" s="30">
        <v>46314</v>
      </c>
      <c r="K23" s="6">
        <f>J23-I23</f>
        <v>4</v>
      </c>
    </row>
    <row r="24" spans="3:11" ht="31.5" customHeight="1" x14ac:dyDescent="0.25">
      <c r="C24" s="29"/>
      <c r="D24" s="28"/>
      <c r="E24" s="28"/>
      <c r="F24" s="28"/>
      <c r="G24" s="28"/>
      <c r="H24" s="28"/>
      <c r="I24" s="28"/>
      <c r="J24" s="27" t="s">
        <v>28</v>
      </c>
      <c r="K24" s="26">
        <f>SUM(K23,K21,K19)</f>
        <v>18</v>
      </c>
    </row>
    <row r="25" spans="3:11" x14ac:dyDescent="0.25">
      <c r="C25" s="25" t="s">
        <v>27</v>
      </c>
      <c r="D25" s="25"/>
      <c r="E25" s="25"/>
      <c r="F25" s="24"/>
      <c r="G25" s="24"/>
      <c r="H25" s="24"/>
      <c r="I25" s="24"/>
      <c r="J25" s="24"/>
      <c r="K25" s="24"/>
    </row>
    <row r="26" spans="3:11" x14ac:dyDescent="0.25">
      <c r="C26" s="23"/>
      <c r="D26" s="23"/>
      <c r="E26" s="23"/>
      <c r="F26" s="1"/>
      <c r="G26" s="1"/>
      <c r="H26" s="1"/>
      <c r="I26" s="1"/>
      <c r="J26" s="1"/>
      <c r="K26" s="1"/>
    </row>
    <row r="27" spans="3:11" ht="23.25" customHeight="1" x14ac:dyDescent="0.25">
      <c r="C27" s="14" t="s">
        <v>26</v>
      </c>
      <c r="D27" s="14"/>
      <c r="E27" s="14"/>
      <c r="F27" s="13"/>
      <c r="G27" s="13"/>
      <c r="H27" s="13"/>
      <c r="I27" s="13"/>
      <c r="J27" s="13"/>
      <c r="K27" s="13"/>
    </row>
    <row r="28" spans="3:11" ht="27" customHeight="1" x14ac:dyDescent="0.25">
      <c r="C28" s="22" t="s">
        <v>25</v>
      </c>
      <c r="D28" s="10" t="s">
        <v>24</v>
      </c>
      <c r="E28" s="12" t="s">
        <v>23</v>
      </c>
      <c r="F28" s="11"/>
      <c r="G28" s="10" t="s">
        <v>22</v>
      </c>
      <c r="H28" s="12" t="s">
        <v>21</v>
      </c>
      <c r="I28" s="11"/>
      <c r="J28" s="21" t="s">
        <v>20</v>
      </c>
      <c r="K28" s="10" t="s">
        <v>19</v>
      </c>
    </row>
    <row r="29" spans="3:11" ht="25.5" customHeight="1" x14ac:dyDescent="0.25">
      <c r="C29" s="6">
        <v>1</v>
      </c>
      <c r="D29" s="6">
        <v>317</v>
      </c>
      <c r="E29" s="20" t="s">
        <v>18</v>
      </c>
      <c r="F29" s="19"/>
      <c r="G29" s="6" t="s">
        <v>14</v>
      </c>
      <c r="H29" s="18">
        <v>46296</v>
      </c>
      <c r="I29" s="17"/>
      <c r="J29" s="16"/>
      <c r="K29" s="15"/>
    </row>
    <row r="30" spans="3:11" ht="25.5" customHeight="1" x14ac:dyDescent="0.25">
      <c r="C30" s="6">
        <v>2</v>
      </c>
      <c r="D30" s="6">
        <v>317</v>
      </c>
      <c r="E30" s="20" t="s">
        <v>17</v>
      </c>
      <c r="F30" s="19"/>
      <c r="G30" s="6" t="s">
        <v>14</v>
      </c>
      <c r="H30" s="18">
        <v>46301</v>
      </c>
      <c r="I30" s="17"/>
      <c r="J30" s="16"/>
      <c r="K30" s="15"/>
    </row>
    <row r="31" spans="3:11" ht="25.5" customHeight="1" x14ac:dyDescent="0.25">
      <c r="C31" s="6">
        <v>3</v>
      </c>
      <c r="D31" s="6">
        <v>317</v>
      </c>
      <c r="E31" s="20" t="s">
        <v>16</v>
      </c>
      <c r="F31" s="19"/>
      <c r="G31" s="6" t="s">
        <v>14</v>
      </c>
      <c r="H31" s="18">
        <v>46310</v>
      </c>
      <c r="I31" s="17"/>
      <c r="J31" s="16"/>
      <c r="K31" s="15"/>
    </row>
    <row r="32" spans="3:11" ht="25.5" customHeight="1" x14ac:dyDescent="0.25">
      <c r="C32" s="6">
        <v>4</v>
      </c>
      <c r="D32" s="6">
        <v>317</v>
      </c>
      <c r="E32" s="20" t="s">
        <v>15</v>
      </c>
      <c r="F32" s="19"/>
      <c r="G32" s="6" t="s">
        <v>14</v>
      </c>
      <c r="H32" s="18">
        <v>46314</v>
      </c>
      <c r="I32" s="17"/>
      <c r="J32" s="16"/>
      <c r="K32" s="15"/>
    </row>
    <row r="33" spans="3:11" ht="23.25" customHeight="1" x14ac:dyDescent="0.25">
      <c r="C33" s="14" t="s">
        <v>13</v>
      </c>
      <c r="D33" s="14"/>
      <c r="E33" s="14"/>
      <c r="F33" s="13"/>
      <c r="G33" s="13"/>
      <c r="H33" s="13"/>
      <c r="I33" s="13"/>
      <c r="J33" s="13"/>
      <c r="K33" s="13"/>
    </row>
    <row r="34" spans="3:11" ht="27" customHeight="1" x14ac:dyDescent="0.25">
      <c r="C34" s="12" t="s">
        <v>12</v>
      </c>
      <c r="D34" s="11"/>
      <c r="E34" s="10" t="s">
        <v>11</v>
      </c>
      <c r="F34" s="12" t="s">
        <v>10</v>
      </c>
      <c r="G34" s="11"/>
      <c r="H34" s="10" t="s">
        <v>9</v>
      </c>
      <c r="I34" s="10" t="s">
        <v>8</v>
      </c>
      <c r="J34" s="10" t="s">
        <v>7</v>
      </c>
      <c r="K34" s="10" t="s">
        <v>6</v>
      </c>
    </row>
    <row r="35" spans="3:11" ht="24.75" customHeight="1" x14ac:dyDescent="0.25">
      <c r="C35" s="8"/>
      <c r="D35" s="7"/>
      <c r="E35" s="9">
        <v>46296</v>
      </c>
      <c r="F35" s="8" t="s">
        <v>5</v>
      </c>
      <c r="G35" s="7"/>
      <c r="H35" s="6" t="s">
        <v>2</v>
      </c>
      <c r="I35" s="6" t="s">
        <v>3</v>
      </c>
      <c r="J35" s="5">
        <v>0.33333333333333331</v>
      </c>
      <c r="K35" s="5">
        <v>0.4201388888888889</v>
      </c>
    </row>
    <row r="36" spans="3:11" ht="24.75" customHeight="1" x14ac:dyDescent="0.25">
      <c r="C36" s="8"/>
      <c r="D36" s="7"/>
      <c r="E36" s="9">
        <v>46315</v>
      </c>
      <c r="F36" s="8" t="s">
        <v>4</v>
      </c>
      <c r="G36" s="7"/>
      <c r="H36" s="6" t="s">
        <v>3</v>
      </c>
      <c r="I36" s="6" t="s">
        <v>2</v>
      </c>
      <c r="J36" s="5">
        <v>0.53125</v>
      </c>
      <c r="K36" s="5">
        <v>0.29166666666666669</v>
      </c>
    </row>
    <row r="37" spans="3:11" x14ac:dyDescent="0.25">
      <c r="C37" s="1"/>
      <c r="D37" s="1"/>
      <c r="E37" s="1"/>
      <c r="F37" s="1"/>
      <c r="G37" s="1"/>
      <c r="H37" s="1"/>
      <c r="I37" s="1"/>
      <c r="J37" s="1"/>
      <c r="K37" s="1"/>
    </row>
    <row r="38" spans="3:11" x14ac:dyDescent="0.25">
      <c r="C38" s="4" t="s">
        <v>1</v>
      </c>
      <c r="D38" s="4"/>
      <c r="E38" s="4"/>
      <c r="F38" s="4"/>
      <c r="G38" s="4"/>
      <c r="H38" s="1"/>
      <c r="I38" s="1"/>
      <c r="J38" s="1"/>
      <c r="K38" s="1"/>
    </row>
    <row r="39" spans="3:11" x14ac:dyDescent="0.25">
      <c r="C39" s="3" t="s">
        <v>0</v>
      </c>
      <c r="D39" s="3"/>
      <c r="E39" s="3"/>
      <c r="F39" s="3"/>
      <c r="G39" s="3"/>
      <c r="H39" s="1"/>
      <c r="I39" s="1"/>
      <c r="J39" s="1"/>
      <c r="K39" s="2"/>
    </row>
    <row r="40" spans="3:11" x14ac:dyDescent="0.25">
      <c r="C40" s="1"/>
      <c r="D40" s="1"/>
      <c r="E40" s="1"/>
      <c r="F40" s="1"/>
      <c r="G40" s="1"/>
      <c r="H40" s="1"/>
      <c r="I40" s="1"/>
      <c r="J40" s="1"/>
      <c r="K40" s="1"/>
    </row>
  </sheetData>
  <mergeCells count="52">
    <mergeCell ref="C2:K2"/>
    <mergeCell ref="C3:K3"/>
    <mergeCell ref="C4:K4"/>
    <mergeCell ref="C5:K5"/>
    <mergeCell ref="E7:F7"/>
    <mergeCell ref="G7:H7"/>
    <mergeCell ref="G8:H8"/>
    <mergeCell ref="E10:F10"/>
    <mergeCell ref="H10:I10"/>
    <mergeCell ref="D12:F12"/>
    <mergeCell ref="G12:H12"/>
    <mergeCell ref="J12:K12"/>
    <mergeCell ref="D13:F13"/>
    <mergeCell ref="G13:H13"/>
    <mergeCell ref="J13:K13"/>
    <mergeCell ref="D14:F14"/>
    <mergeCell ref="G14:H14"/>
    <mergeCell ref="J14:K14"/>
    <mergeCell ref="C15:H15"/>
    <mergeCell ref="I15:K15"/>
    <mergeCell ref="C17:K17"/>
    <mergeCell ref="C18:D18"/>
    <mergeCell ref="G18:H18"/>
    <mergeCell ref="C19:D19"/>
    <mergeCell ref="G19:H19"/>
    <mergeCell ref="C20:K20"/>
    <mergeCell ref="C21:D21"/>
    <mergeCell ref="G21:H21"/>
    <mergeCell ref="C22:K22"/>
    <mergeCell ref="C23:D23"/>
    <mergeCell ref="G23:H23"/>
    <mergeCell ref="C25:K25"/>
    <mergeCell ref="C27:K27"/>
    <mergeCell ref="E28:F28"/>
    <mergeCell ref="H28:I28"/>
    <mergeCell ref="E29:F29"/>
    <mergeCell ref="H29:I29"/>
    <mergeCell ref="E30:F30"/>
    <mergeCell ref="H30:I30"/>
    <mergeCell ref="E31:F31"/>
    <mergeCell ref="H31:I31"/>
    <mergeCell ref="E32:F32"/>
    <mergeCell ref="H32:I32"/>
    <mergeCell ref="C38:G38"/>
    <mergeCell ref="C39:G39"/>
    <mergeCell ref="C33:K33"/>
    <mergeCell ref="C34:D34"/>
    <mergeCell ref="F34:G34"/>
    <mergeCell ref="C35:D35"/>
    <mergeCell ref="F35:G35"/>
    <mergeCell ref="C36:D36"/>
    <mergeCell ref="F36:G36"/>
  </mergeCells>
  <printOptions horizontalCentered="1" verticalCentered="1"/>
  <pageMargins left="0.25" right="0.25" top="0.5" bottom="0.5" header="0.3" footer="0.3"/>
  <pageSetup paperSize="9" scale="69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C9537-C17C-42ED-B844-52F473F1F45A}">
  <sheetPr codeName="Sheet26">
    <pageSetUpPr fitToPage="1"/>
  </sheetPr>
  <dimension ref="C1:K41"/>
  <sheetViews>
    <sheetView showGridLines="0" view="pageBreakPreview" zoomScale="87" zoomScaleNormal="93" zoomScaleSheetLayoutView="72" workbookViewId="0">
      <selection activeCell="C4" sqref="C4:K4"/>
    </sheetView>
  </sheetViews>
  <sheetFormatPr defaultRowHeight="15" x14ac:dyDescent="0.25"/>
  <cols>
    <col min="3" max="3" width="4.42578125" customWidth="1"/>
    <col min="4" max="4" width="10" customWidth="1"/>
    <col min="5" max="5" width="11.5703125" customWidth="1"/>
    <col min="6" max="6" width="33.28515625" customWidth="1"/>
    <col min="7" max="7" width="21.7109375" bestFit="1" customWidth="1"/>
    <col min="8" max="8" width="9.140625" customWidth="1"/>
    <col min="9" max="9" width="15" customWidth="1"/>
    <col min="10" max="10" width="18.7109375" customWidth="1"/>
    <col min="11" max="11" width="17.7109375" customWidth="1"/>
  </cols>
  <sheetData>
    <row r="1" spans="3:11" x14ac:dyDescent="0.25">
      <c r="F1" t="s">
        <v>59</v>
      </c>
    </row>
    <row r="2" spans="3:11" ht="27.75" x14ac:dyDescent="0.35">
      <c r="C2" s="64" t="s">
        <v>58</v>
      </c>
      <c r="D2" s="64"/>
      <c r="E2" s="64"/>
      <c r="F2" s="63"/>
      <c r="G2" s="63"/>
      <c r="H2" s="63"/>
      <c r="I2" s="63"/>
      <c r="J2" s="63"/>
      <c r="K2" s="63"/>
    </row>
    <row r="3" spans="3:11" x14ac:dyDescent="0.25">
      <c r="C3" s="62"/>
      <c r="D3" s="62"/>
      <c r="E3" s="62"/>
      <c r="F3" s="61"/>
      <c r="G3" s="61"/>
      <c r="H3" s="61"/>
      <c r="I3" s="61"/>
      <c r="J3" s="61"/>
      <c r="K3" s="61"/>
    </row>
    <row r="4" spans="3:11" x14ac:dyDescent="0.25">
      <c r="C4" s="62" t="s">
        <v>57</v>
      </c>
      <c r="D4" s="62"/>
      <c r="E4" s="62"/>
      <c r="F4" s="61"/>
      <c r="G4" s="61"/>
      <c r="H4" s="61"/>
      <c r="I4" s="61"/>
      <c r="J4" s="61"/>
      <c r="K4" s="61"/>
    </row>
    <row r="5" spans="3:11" ht="71.45" customHeight="1" thickBot="1" x14ac:dyDescent="0.3">
      <c r="C5" s="60" t="s">
        <v>56</v>
      </c>
      <c r="D5" s="60"/>
      <c r="E5" s="60"/>
      <c r="F5" s="59"/>
      <c r="G5" s="59"/>
      <c r="H5" s="59"/>
      <c r="I5" s="59"/>
      <c r="J5" s="59"/>
      <c r="K5" s="59"/>
    </row>
    <row r="6" spans="3:11" ht="8.4499999999999993" customHeight="1" x14ac:dyDescent="0.25">
      <c r="C6" s="58"/>
      <c r="D6" s="58"/>
      <c r="E6" s="58"/>
      <c r="F6" s="1"/>
      <c r="G6" s="1"/>
      <c r="H6" s="1"/>
      <c r="I6" s="1"/>
      <c r="J6" s="1"/>
      <c r="K6" s="1"/>
    </row>
    <row r="7" spans="3:11" x14ac:dyDescent="0.25">
      <c r="C7" s="50"/>
      <c r="D7" s="50"/>
      <c r="E7" s="57" t="s">
        <v>55</v>
      </c>
      <c r="F7" s="57"/>
      <c r="G7" s="56" t="s">
        <v>54</v>
      </c>
      <c r="H7" s="56"/>
      <c r="I7" s="1"/>
      <c r="J7" s="50"/>
      <c r="K7" s="1"/>
    </row>
    <row r="8" spans="3:11" x14ac:dyDescent="0.25">
      <c r="C8" s="1"/>
      <c r="D8" s="1"/>
      <c r="E8" s="1"/>
      <c r="F8" s="1"/>
      <c r="G8" s="56"/>
      <c r="H8" s="56"/>
      <c r="I8" s="1"/>
      <c r="J8" s="1"/>
      <c r="K8" s="1"/>
    </row>
    <row r="9" spans="3:11" x14ac:dyDescent="0.25">
      <c r="C9" s="1"/>
      <c r="D9" s="1"/>
      <c r="E9" s="1"/>
      <c r="F9" s="1"/>
      <c r="G9" s="1"/>
      <c r="H9" s="50"/>
      <c r="I9" s="1"/>
      <c r="J9" s="1"/>
      <c r="K9" s="1"/>
    </row>
    <row r="10" spans="3:11" ht="21.75" customHeight="1" thickBot="1" x14ac:dyDescent="0.3">
      <c r="C10" s="51"/>
      <c r="D10" s="55" t="s">
        <v>53</v>
      </c>
      <c r="E10" s="54" t="str">
        <f>D13</f>
        <v>IKRAM UDDIN/MR</v>
      </c>
      <c r="F10" s="54"/>
      <c r="G10" s="53"/>
      <c r="H10" s="52" t="s">
        <v>52</v>
      </c>
      <c r="I10" s="52"/>
      <c r="J10" s="51"/>
      <c r="K10" s="51"/>
    </row>
    <row r="11" spans="3:11" x14ac:dyDescent="0.25">
      <c r="C11" s="1"/>
      <c r="D11" s="1"/>
      <c r="E11" s="1"/>
      <c r="F11" s="1"/>
      <c r="G11" s="1"/>
      <c r="H11" s="50"/>
      <c r="I11" s="49"/>
      <c r="J11" s="1"/>
      <c r="K11" s="1"/>
    </row>
    <row r="12" spans="3:11" ht="27" customHeight="1" x14ac:dyDescent="0.25">
      <c r="C12" s="22" t="s">
        <v>25</v>
      </c>
      <c r="D12" s="45" t="s">
        <v>51</v>
      </c>
      <c r="E12" s="48"/>
      <c r="F12" s="44"/>
      <c r="G12" s="47" t="s">
        <v>50</v>
      </c>
      <c r="H12" s="46"/>
      <c r="I12" s="22" t="s">
        <v>49</v>
      </c>
      <c r="J12" s="45" t="s">
        <v>48</v>
      </c>
      <c r="K12" s="44"/>
    </row>
    <row r="13" spans="3:11" ht="24.75" customHeight="1" x14ac:dyDescent="0.25">
      <c r="C13" s="15">
        <v>1</v>
      </c>
      <c r="D13" s="20" t="s">
        <v>84</v>
      </c>
      <c r="E13" s="41"/>
      <c r="F13" s="19"/>
      <c r="G13" s="8" t="s">
        <v>83</v>
      </c>
      <c r="H13" s="7"/>
      <c r="I13" s="40"/>
      <c r="J13" s="43"/>
      <c r="K13" s="42"/>
    </row>
    <row r="14" spans="3:11" ht="24.75" customHeight="1" x14ac:dyDescent="0.25">
      <c r="C14" s="15">
        <v>2</v>
      </c>
      <c r="D14" s="20" t="s">
        <v>82</v>
      </c>
      <c r="E14" s="41"/>
      <c r="F14" s="19"/>
      <c r="G14" s="8" t="s">
        <v>81</v>
      </c>
      <c r="H14" s="7"/>
      <c r="I14" s="40"/>
      <c r="J14" s="43"/>
      <c r="K14" s="42"/>
    </row>
    <row r="15" spans="3:11" ht="24.75" customHeight="1" x14ac:dyDescent="0.25">
      <c r="C15" s="15">
        <v>3</v>
      </c>
      <c r="D15" s="20" t="s">
        <v>80</v>
      </c>
      <c r="E15" s="41"/>
      <c r="F15" s="19"/>
      <c r="G15" s="8" t="s">
        <v>79</v>
      </c>
      <c r="H15" s="7"/>
      <c r="I15" s="40"/>
      <c r="J15" s="43"/>
      <c r="K15" s="42"/>
    </row>
    <row r="16" spans="3:11" ht="29.25" customHeight="1" x14ac:dyDescent="0.25">
      <c r="C16" s="69" t="s">
        <v>78</v>
      </c>
      <c r="D16" s="69"/>
      <c r="E16" s="69"/>
      <c r="F16" s="69"/>
      <c r="G16" s="69"/>
      <c r="H16" s="69"/>
      <c r="I16" s="37" t="s">
        <v>77</v>
      </c>
      <c r="J16" s="24"/>
      <c r="K16" s="24"/>
    </row>
    <row r="17" spans="3:11" x14ac:dyDescent="0.25">
      <c r="C17" s="1"/>
      <c r="D17" s="1"/>
      <c r="E17" s="1"/>
      <c r="F17" s="1"/>
      <c r="G17" s="1"/>
      <c r="H17" s="1"/>
      <c r="I17" s="1"/>
      <c r="J17" s="1"/>
      <c r="K17" s="1"/>
    </row>
    <row r="18" spans="3:11" ht="23.25" customHeight="1" x14ac:dyDescent="0.25">
      <c r="C18" s="67" t="s">
        <v>41</v>
      </c>
      <c r="D18" s="66"/>
      <c r="E18" s="66"/>
      <c r="F18" s="66"/>
      <c r="G18" s="66"/>
      <c r="H18" s="66"/>
      <c r="I18" s="66"/>
      <c r="J18" s="66"/>
      <c r="K18" s="65"/>
    </row>
    <row r="19" spans="3:11" ht="27" customHeight="1" x14ac:dyDescent="0.25">
      <c r="C19" s="36" t="s">
        <v>40</v>
      </c>
      <c r="D19" s="35"/>
      <c r="E19" s="34" t="s">
        <v>39</v>
      </c>
      <c r="F19" s="34" t="s">
        <v>38</v>
      </c>
      <c r="G19" s="36" t="s">
        <v>37</v>
      </c>
      <c r="H19" s="35"/>
      <c r="I19" s="34" t="s">
        <v>36</v>
      </c>
      <c r="J19" s="34" t="s">
        <v>35</v>
      </c>
      <c r="K19" s="34" t="s">
        <v>34</v>
      </c>
    </row>
    <row r="20" spans="3:11" ht="22.7" customHeight="1" x14ac:dyDescent="0.25">
      <c r="C20" s="8" t="s">
        <v>29</v>
      </c>
      <c r="D20" s="7"/>
      <c r="E20" s="6">
        <v>378</v>
      </c>
      <c r="F20" s="15" t="s">
        <v>62</v>
      </c>
      <c r="G20" s="8" t="s">
        <v>60</v>
      </c>
      <c r="H20" s="7"/>
      <c r="I20" s="30">
        <v>46296</v>
      </c>
      <c r="J20" s="30">
        <v>46301</v>
      </c>
      <c r="K20" s="6">
        <f>J20-I20</f>
        <v>5</v>
      </c>
    </row>
    <row r="21" spans="3:11" ht="27" customHeight="1" x14ac:dyDescent="0.25">
      <c r="C21" s="20"/>
      <c r="D21" s="41"/>
      <c r="E21" s="41"/>
      <c r="F21" s="41"/>
      <c r="G21" s="41"/>
      <c r="H21" s="41"/>
      <c r="I21" s="41"/>
      <c r="J21" s="41"/>
      <c r="K21" s="19"/>
    </row>
    <row r="22" spans="3:11" ht="22.7" customHeight="1" x14ac:dyDescent="0.25">
      <c r="C22" s="8" t="s">
        <v>32</v>
      </c>
      <c r="D22" s="7"/>
      <c r="E22" s="6">
        <v>378</v>
      </c>
      <c r="F22" s="15" t="s">
        <v>61</v>
      </c>
      <c r="G22" s="8" t="s">
        <v>60</v>
      </c>
      <c r="H22" s="7"/>
      <c r="I22" s="30">
        <v>46301</v>
      </c>
      <c r="J22" s="30">
        <v>46310</v>
      </c>
      <c r="K22" s="6">
        <f>J22-I22</f>
        <v>9</v>
      </c>
    </row>
    <row r="23" spans="3:11" ht="22.7" customHeight="1" x14ac:dyDescent="0.25">
      <c r="C23" s="20"/>
      <c r="D23" s="41"/>
      <c r="E23" s="41"/>
      <c r="F23" s="41"/>
      <c r="G23" s="41"/>
      <c r="H23" s="41"/>
      <c r="I23" s="41"/>
      <c r="J23" s="41"/>
      <c r="K23" s="19"/>
    </row>
    <row r="24" spans="3:11" ht="22.7" customHeight="1" x14ac:dyDescent="0.25">
      <c r="C24" s="8" t="s">
        <v>29</v>
      </c>
      <c r="D24" s="7"/>
      <c r="E24" s="31">
        <v>378</v>
      </c>
      <c r="F24" s="15" t="str">
        <f>F20</f>
        <v>MASARAT SILVER</v>
      </c>
      <c r="G24" s="8" t="s">
        <v>60</v>
      </c>
      <c r="H24" s="7"/>
      <c r="I24" s="30">
        <v>46310</v>
      </c>
      <c r="J24" s="30">
        <v>46314</v>
      </c>
      <c r="K24" s="6">
        <f>J24-I24</f>
        <v>4</v>
      </c>
    </row>
    <row r="25" spans="3:11" ht="31.5" customHeight="1" x14ac:dyDescent="0.25">
      <c r="C25" s="29"/>
      <c r="D25" s="28"/>
      <c r="E25" s="28"/>
      <c r="F25" s="28"/>
      <c r="G25" s="28"/>
      <c r="H25" s="28"/>
      <c r="I25" s="28"/>
      <c r="J25" s="27" t="s">
        <v>28</v>
      </c>
      <c r="K25" s="26">
        <f>SUM(K24,K22,K20)</f>
        <v>18</v>
      </c>
    </row>
    <row r="26" spans="3:11" ht="15" customHeight="1" x14ac:dyDescent="0.25">
      <c r="C26" s="68" t="s">
        <v>27</v>
      </c>
      <c r="D26" s="68"/>
      <c r="E26" s="68"/>
      <c r="F26" s="68"/>
      <c r="G26" s="68"/>
      <c r="H26" s="68"/>
      <c r="I26" s="68"/>
      <c r="J26" s="68"/>
      <c r="K26" s="68"/>
    </row>
    <row r="27" spans="3:11" x14ac:dyDescent="0.25">
      <c r="C27" s="23"/>
      <c r="D27" s="23"/>
      <c r="E27" s="23"/>
      <c r="F27" s="1"/>
      <c r="G27" s="1"/>
      <c r="H27" s="1"/>
      <c r="I27" s="1"/>
      <c r="J27" s="1"/>
      <c r="K27" s="1"/>
    </row>
    <row r="28" spans="3:11" ht="23.25" customHeight="1" x14ac:dyDescent="0.25">
      <c r="C28" s="67" t="s">
        <v>26</v>
      </c>
      <c r="D28" s="66"/>
      <c r="E28" s="66"/>
      <c r="F28" s="66"/>
      <c r="G28" s="66"/>
      <c r="H28" s="66"/>
      <c r="I28" s="66"/>
      <c r="J28" s="66"/>
      <c r="K28" s="65"/>
    </row>
    <row r="29" spans="3:11" ht="27" customHeight="1" x14ac:dyDescent="0.25">
      <c r="C29" s="22" t="s">
        <v>25</v>
      </c>
      <c r="D29" s="10" t="s">
        <v>24</v>
      </c>
      <c r="E29" s="12" t="s">
        <v>23</v>
      </c>
      <c r="F29" s="11"/>
      <c r="G29" s="10" t="s">
        <v>22</v>
      </c>
      <c r="H29" s="12" t="s">
        <v>21</v>
      </c>
      <c r="I29" s="11"/>
      <c r="J29" s="21" t="s">
        <v>20</v>
      </c>
      <c r="K29" s="10" t="s">
        <v>19</v>
      </c>
    </row>
    <row r="30" spans="3:11" ht="25.5" customHeight="1" x14ac:dyDescent="0.25">
      <c r="C30" s="6">
        <v>1</v>
      </c>
      <c r="D30" s="6">
        <v>317</v>
      </c>
      <c r="E30" s="20" t="s">
        <v>18</v>
      </c>
      <c r="F30" s="19"/>
      <c r="G30" s="6" t="s">
        <v>14</v>
      </c>
      <c r="H30" s="18">
        <v>46296</v>
      </c>
      <c r="I30" s="17"/>
      <c r="J30" s="16"/>
      <c r="K30" s="15"/>
    </row>
    <row r="31" spans="3:11" ht="25.5" customHeight="1" x14ac:dyDescent="0.25">
      <c r="C31" s="6">
        <v>2</v>
      </c>
      <c r="D31" s="6">
        <v>317</v>
      </c>
      <c r="E31" s="20" t="s">
        <v>17</v>
      </c>
      <c r="F31" s="19"/>
      <c r="G31" s="6" t="s">
        <v>14</v>
      </c>
      <c r="H31" s="18">
        <v>46301</v>
      </c>
      <c r="I31" s="17"/>
      <c r="J31" s="16"/>
      <c r="K31" s="15"/>
    </row>
    <row r="32" spans="3:11" ht="25.5" customHeight="1" x14ac:dyDescent="0.25">
      <c r="C32" s="6">
        <v>3</v>
      </c>
      <c r="D32" s="6">
        <v>317</v>
      </c>
      <c r="E32" s="20" t="s">
        <v>16</v>
      </c>
      <c r="F32" s="19"/>
      <c r="G32" s="6" t="s">
        <v>14</v>
      </c>
      <c r="H32" s="18">
        <v>46310</v>
      </c>
      <c r="I32" s="17"/>
      <c r="J32" s="16"/>
      <c r="K32" s="15"/>
    </row>
    <row r="33" spans="3:11" ht="25.5" customHeight="1" x14ac:dyDescent="0.25">
      <c r="C33" s="6">
        <v>4</v>
      </c>
      <c r="D33" s="6">
        <v>317</v>
      </c>
      <c r="E33" s="20" t="s">
        <v>15</v>
      </c>
      <c r="F33" s="19"/>
      <c r="G33" s="6" t="s">
        <v>14</v>
      </c>
      <c r="H33" s="18">
        <v>46314</v>
      </c>
      <c r="I33" s="17"/>
      <c r="J33" s="16"/>
      <c r="K33" s="15"/>
    </row>
    <row r="34" spans="3:11" ht="23.25" customHeight="1" x14ac:dyDescent="0.25">
      <c r="C34" s="67" t="s">
        <v>13</v>
      </c>
      <c r="D34" s="66"/>
      <c r="E34" s="66"/>
      <c r="F34" s="66"/>
      <c r="G34" s="66"/>
      <c r="H34" s="66"/>
      <c r="I34" s="66"/>
      <c r="J34" s="66"/>
      <c r="K34" s="65"/>
    </row>
    <row r="35" spans="3:11" ht="27" customHeight="1" x14ac:dyDescent="0.25">
      <c r="C35" s="12" t="s">
        <v>12</v>
      </c>
      <c r="D35" s="11"/>
      <c r="E35" s="10" t="s">
        <v>11</v>
      </c>
      <c r="F35" s="12" t="s">
        <v>10</v>
      </c>
      <c r="G35" s="11"/>
      <c r="H35" s="10" t="s">
        <v>9</v>
      </c>
      <c r="I35" s="10" t="s">
        <v>8</v>
      </c>
      <c r="J35" s="10" t="s">
        <v>7</v>
      </c>
      <c r="K35" s="10" t="s">
        <v>6</v>
      </c>
    </row>
    <row r="36" spans="3:11" ht="24.75" customHeight="1" x14ac:dyDescent="0.25">
      <c r="C36" s="8"/>
      <c r="D36" s="7"/>
      <c r="E36" s="9">
        <v>46296</v>
      </c>
      <c r="F36" s="8" t="s">
        <v>5</v>
      </c>
      <c r="G36" s="7"/>
      <c r="H36" s="6" t="s">
        <v>2</v>
      </c>
      <c r="I36" s="6" t="s">
        <v>3</v>
      </c>
      <c r="J36" s="5">
        <v>0.33333333333333331</v>
      </c>
      <c r="K36" s="5">
        <v>0.4201388888888889</v>
      </c>
    </row>
    <row r="37" spans="3:11" ht="24.75" customHeight="1" x14ac:dyDescent="0.25">
      <c r="C37" s="8"/>
      <c r="D37" s="7"/>
      <c r="E37" s="9">
        <v>46315</v>
      </c>
      <c r="F37" s="8" t="s">
        <v>4</v>
      </c>
      <c r="G37" s="7"/>
      <c r="H37" s="6" t="s">
        <v>3</v>
      </c>
      <c r="I37" s="6" t="s">
        <v>2</v>
      </c>
      <c r="J37" s="5">
        <v>0.53125</v>
      </c>
      <c r="K37" s="5">
        <v>0.29166666666666669</v>
      </c>
    </row>
    <row r="38" spans="3:11" x14ac:dyDescent="0.25">
      <c r="C38" s="1"/>
      <c r="D38" s="1"/>
      <c r="E38" s="1"/>
      <c r="F38" s="1"/>
      <c r="G38" s="1"/>
      <c r="H38" s="1"/>
      <c r="I38" s="1"/>
      <c r="J38" s="1"/>
      <c r="K38" s="1"/>
    </row>
    <row r="39" spans="3:11" x14ac:dyDescent="0.25">
      <c r="C39" s="4" t="s">
        <v>1</v>
      </c>
      <c r="D39" s="4"/>
      <c r="E39" s="4"/>
      <c r="F39" s="4"/>
      <c r="G39" s="4"/>
      <c r="H39" s="1"/>
      <c r="I39" s="1"/>
      <c r="J39" s="1"/>
      <c r="K39" s="1"/>
    </row>
    <row r="40" spans="3:11" x14ac:dyDescent="0.25">
      <c r="C40" s="3" t="s">
        <v>0</v>
      </c>
      <c r="D40" s="3"/>
      <c r="E40" s="3"/>
      <c r="F40" s="3"/>
      <c r="G40" s="3"/>
      <c r="H40" s="1"/>
      <c r="I40" s="1"/>
      <c r="J40" s="1"/>
      <c r="K40" s="2"/>
    </row>
    <row r="41" spans="3:11" x14ac:dyDescent="0.25">
      <c r="C41" s="1"/>
      <c r="D41" s="1"/>
      <c r="E41" s="1"/>
      <c r="F41" s="1"/>
      <c r="G41" s="1"/>
      <c r="H41" s="1"/>
      <c r="I41" s="1"/>
      <c r="J41" s="1"/>
      <c r="K41" s="1"/>
    </row>
  </sheetData>
  <mergeCells count="55">
    <mergeCell ref="C2:K2"/>
    <mergeCell ref="C3:K3"/>
    <mergeCell ref="C4:K4"/>
    <mergeCell ref="C5:K5"/>
    <mergeCell ref="E7:F7"/>
    <mergeCell ref="G7:H7"/>
    <mergeCell ref="D13:F13"/>
    <mergeCell ref="G13:H13"/>
    <mergeCell ref="J13:K13"/>
    <mergeCell ref="G8:H8"/>
    <mergeCell ref="E10:F10"/>
    <mergeCell ref="H10:I10"/>
    <mergeCell ref="D12:F12"/>
    <mergeCell ref="G12:H12"/>
    <mergeCell ref="J12:K12"/>
    <mergeCell ref="C16:H16"/>
    <mergeCell ref="I16:K16"/>
    <mergeCell ref="C18:K18"/>
    <mergeCell ref="C19:D19"/>
    <mergeCell ref="G19:H19"/>
    <mergeCell ref="C20:D20"/>
    <mergeCell ref="G20:H20"/>
    <mergeCell ref="H30:I30"/>
    <mergeCell ref="C21:K21"/>
    <mergeCell ref="C22:D22"/>
    <mergeCell ref="G22:H22"/>
    <mergeCell ref="C23:K23"/>
    <mergeCell ref="C24:D24"/>
    <mergeCell ref="G24:H24"/>
    <mergeCell ref="H31:I31"/>
    <mergeCell ref="E32:F32"/>
    <mergeCell ref="H32:I32"/>
    <mergeCell ref="E33:F33"/>
    <mergeCell ref="H33:I33"/>
    <mergeCell ref="C26:K26"/>
    <mergeCell ref="C28:K28"/>
    <mergeCell ref="E29:F29"/>
    <mergeCell ref="H29:I29"/>
    <mergeCell ref="E30:F30"/>
    <mergeCell ref="F35:G35"/>
    <mergeCell ref="C36:D36"/>
    <mergeCell ref="F36:G36"/>
    <mergeCell ref="C37:D37"/>
    <mergeCell ref="F37:G37"/>
    <mergeCell ref="E31:F31"/>
    <mergeCell ref="J14:K14"/>
    <mergeCell ref="D15:F15"/>
    <mergeCell ref="G15:H15"/>
    <mergeCell ref="J15:K15"/>
    <mergeCell ref="C39:G39"/>
    <mergeCell ref="C40:G40"/>
    <mergeCell ref="D14:F14"/>
    <mergeCell ref="G14:H14"/>
    <mergeCell ref="C34:K34"/>
    <mergeCell ref="C35:D35"/>
  </mergeCells>
  <printOptions horizontalCentered="1" verticalCentered="1"/>
  <pageMargins left="0.25" right="0.25" top="0.5" bottom="0.5" header="0.3" footer="0.3"/>
  <pageSetup paperSize="9" scale="69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9E8F2-461B-4F31-AB71-200FC0326077}">
  <sheetPr codeName="Sheet27">
    <pageSetUpPr fitToPage="1"/>
  </sheetPr>
  <dimension ref="C1:K40"/>
  <sheetViews>
    <sheetView showGridLines="0" view="pageBreakPreview" zoomScale="87" zoomScaleNormal="93" zoomScaleSheetLayoutView="72" workbookViewId="0">
      <selection activeCell="C4" sqref="C4:K4"/>
    </sheetView>
  </sheetViews>
  <sheetFormatPr defaultRowHeight="15" x14ac:dyDescent="0.25"/>
  <cols>
    <col min="3" max="3" width="4.42578125" customWidth="1"/>
    <col min="4" max="4" width="10" customWidth="1"/>
    <col min="5" max="5" width="11.5703125" customWidth="1"/>
    <col min="6" max="6" width="33.28515625" customWidth="1"/>
    <col min="7" max="7" width="21.7109375" bestFit="1" customWidth="1"/>
    <col min="8" max="8" width="9.140625" customWidth="1"/>
    <col min="9" max="9" width="15" customWidth="1"/>
    <col min="10" max="10" width="18.7109375" customWidth="1"/>
    <col min="11" max="11" width="17.7109375" customWidth="1"/>
  </cols>
  <sheetData>
    <row r="1" spans="3:11" x14ac:dyDescent="0.25">
      <c r="F1" t="s">
        <v>59</v>
      </c>
    </row>
    <row r="2" spans="3:11" ht="27.75" x14ac:dyDescent="0.35">
      <c r="C2" s="64" t="s">
        <v>58</v>
      </c>
      <c r="D2" s="64"/>
      <c r="E2" s="64"/>
      <c r="F2" s="63"/>
      <c r="G2" s="63"/>
      <c r="H2" s="63"/>
      <c r="I2" s="63"/>
      <c r="J2" s="63"/>
      <c r="K2" s="63"/>
    </row>
    <row r="3" spans="3:11" x14ac:dyDescent="0.25">
      <c r="C3" s="62"/>
      <c r="D3" s="62"/>
      <c r="E3" s="62"/>
      <c r="F3" s="61"/>
      <c r="G3" s="61"/>
      <c r="H3" s="61"/>
      <c r="I3" s="61"/>
      <c r="J3" s="61"/>
      <c r="K3" s="61"/>
    </row>
    <row r="4" spans="3:11" x14ac:dyDescent="0.25">
      <c r="C4" s="62" t="s">
        <v>57</v>
      </c>
      <c r="D4" s="62"/>
      <c r="E4" s="62"/>
      <c r="F4" s="61"/>
      <c r="G4" s="61"/>
      <c r="H4" s="61"/>
      <c r="I4" s="61"/>
      <c r="J4" s="61"/>
      <c r="K4" s="61"/>
    </row>
    <row r="5" spans="3:11" ht="71.45" customHeight="1" thickBot="1" x14ac:dyDescent="0.3">
      <c r="C5" s="60" t="s">
        <v>56</v>
      </c>
      <c r="D5" s="60"/>
      <c r="E5" s="60"/>
      <c r="F5" s="59"/>
      <c r="G5" s="59"/>
      <c r="H5" s="59"/>
      <c r="I5" s="59"/>
      <c r="J5" s="59"/>
      <c r="K5" s="59"/>
    </row>
    <row r="6" spans="3:11" ht="8.4499999999999993" customHeight="1" x14ac:dyDescent="0.25">
      <c r="C6" s="58"/>
      <c r="D6" s="58"/>
      <c r="E6" s="58"/>
      <c r="F6" s="1"/>
      <c r="G6" s="1"/>
      <c r="H6" s="1"/>
      <c r="I6" s="1"/>
      <c r="J6" s="1"/>
      <c r="K6" s="1"/>
    </row>
    <row r="7" spans="3:11" x14ac:dyDescent="0.25">
      <c r="C7" s="50"/>
      <c r="D7" s="50"/>
      <c r="E7" s="57" t="s">
        <v>55</v>
      </c>
      <c r="F7" s="57"/>
      <c r="G7" s="56" t="s">
        <v>54</v>
      </c>
      <c r="H7" s="56"/>
      <c r="I7" s="1"/>
      <c r="J7" s="50"/>
      <c r="K7" s="1"/>
    </row>
    <row r="8" spans="3:11" x14ac:dyDescent="0.25">
      <c r="C8" s="1"/>
      <c r="D8" s="1"/>
      <c r="E8" s="1"/>
      <c r="F8" s="1"/>
      <c r="G8" s="56"/>
      <c r="H8" s="56"/>
      <c r="I8" s="1"/>
      <c r="J8" s="1"/>
      <c r="K8" s="1"/>
    </row>
    <row r="9" spans="3:11" x14ac:dyDescent="0.25">
      <c r="C9" s="1"/>
      <c r="D9" s="1"/>
      <c r="E9" s="1"/>
      <c r="F9" s="1"/>
      <c r="G9" s="1"/>
      <c r="H9" s="50"/>
      <c r="I9" s="1"/>
      <c r="J9" s="1"/>
      <c r="K9" s="1"/>
    </row>
    <row r="10" spans="3:11" ht="21.75" customHeight="1" thickBot="1" x14ac:dyDescent="0.3">
      <c r="C10" s="51"/>
      <c r="D10" s="55" t="s">
        <v>53</v>
      </c>
      <c r="E10" s="54" t="str">
        <f>D13</f>
        <v>MUHAMMAD WAQAS /MR</v>
      </c>
      <c r="F10" s="54"/>
      <c r="G10" s="53"/>
      <c r="H10" s="52" t="s">
        <v>52</v>
      </c>
      <c r="I10" s="52"/>
      <c r="J10" s="51"/>
      <c r="K10" s="51"/>
    </row>
    <row r="11" spans="3:11" x14ac:dyDescent="0.25">
      <c r="C11" s="1"/>
      <c r="D11" s="1"/>
      <c r="E11" s="1"/>
      <c r="F11" s="1"/>
      <c r="G11" s="1"/>
      <c r="H11" s="50"/>
      <c r="I11" s="49"/>
      <c r="J11" s="1"/>
      <c r="K11" s="1"/>
    </row>
    <row r="12" spans="3:11" ht="27" customHeight="1" x14ac:dyDescent="0.25">
      <c r="C12" s="22" t="s">
        <v>25</v>
      </c>
      <c r="D12" s="45" t="s">
        <v>51</v>
      </c>
      <c r="E12" s="48"/>
      <c r="F12" s="44"/>
      <c r="G12" s="47" t="s">
        <v>50</v>
      </c>
      <c r="H12" s="46"/>
      <c r="I12" s="22" t="s">
        <v>49</v>
      </c>
      <c r="J12" s="45" t="s">
        <v>48</v>
      </c>
      <c r="K12" s="44"/>
    </row>
    <row r="13" spans="3:11" ht="24.75" customHeight="1" x14ac:dyDescent="0.25">
      <c r="C13" s="15">
        <v>1</v>
      </c>
      <c r="D13" s="20" t="s">
        <v>88</v>
      </c>
      <c r="E13" s="41"/>
      <c r="F13" s="19"/>
      <c r="G13" s="8" t="s">
        <v>87</v>
      </c>
      <c r="H13" s="7"/>
      <c r="I13" s="40"/>
      <c r="J13" s="43"/>
      <c r="K13" s="42"/>
    </row>
    <row r="14" spans="3:11" ht="24.75" customHeight="1" x14ac:dyDescent="0.25">
      <c r="C14" s="15">
        <v>2</v>
      </c>
      <c r="D14" s="20" t="s">
        <v>86</v>
      </c>
      <c r="E14" s="41"/>
      <c r="F14" s="19"/>
      <c r="G14" s="8" t="s">
        <v>85</v>
      </c>
      <c r="H14" s="7"/>
      <c r="I14" s="40"/>
      <c r="J14" s="43"/>
      <c r="K14" s="42"/>
    </row>
    <row r="15" spans="3:11" ht="29.25" customHeight="1" x14ac:dyDescent="0.25">
      <c r="C15" s="69" t="s">
        <v>43</v>
      </c>
      <c r="D15" s="69"/>
      <c r="E15" s="69"/>
      <c r="F15" s="69"/>
      <c r="G15" s="69"/>
      <c r="H15" s="69"/>
      <c r="I15" s="37" t="s">
        <v>42</v>
      </c>
      <c r="J15" s="24"/>
      <c r="K15" s="24"/>
    </row>
    <row r="16" spans="3:11" x14ac:dyDescent="0.25">
      <c r="C16" s="1"/>
      <c r="D16" s="1"/>
      <c r="E16" s="1"/>
      <c r="F16" s="1"/>
      <c r="G16" s="1"/>
      <c r="H16" s="1"/>
      <c r="I16" s="1"/>
      <c r="J16" s="1"/>
      <c r="K16" s="1"/>
    </row>
    <row r="17" spans="3:11" ht="23.25" customHeight="1" x14ac:dyDescent="0.25">
      <c r="C17" s="67" t="s">
        <v>41</v>
      </c>
      <c r="D17" s="66"/>
      <c r="E17" s="66"/>
      <c r="F17" s="66"/>
      <c r="G17" s="66"/>
      <c r="H17" s="66"/>
      <c r="I17" s="66"/>
      <c r="J17" s="66"/>
      <c r="K17" s="65"/>
    </row>
    <row r="18" spans="3:11" ht="27" customHeight="1" x14ac:dyDescent="0.25">
      <c r="C18" s="36" t="s">
        <v>40</v>
      </c>
      <c r="D18" s="35"/>
      <c r="E18" s="34" t="s">
        <v>39</v>
      </c>
      <c r="F18" s="34" t="s">
        <v>38</v>
      </c>
      <c r="G18" s="36" t="s">
        <v>37</v>
      </c>
      <c r="H18" s="35"/>
      <c r="I18" s="34" t="s">
        <v>36</v>
      </c>
      <c r="J18" s="34" t="s">
        <v>35</v>
      </c>
      <c r="K18" s="34" t="s">
        <v>34</v>
      </c>
    </row>
    <row r="19" spans="3:11" ht="22.7" customHeight="1" x14ac:dyDescent="0.25">
      <c r="C19" s="8" t="s">
        <v>29</v>
      </c>
      <c r="D19" s="7"/>
      <c r="E19" s="6">
        <v>378</v>
      </c>
      <c r="F19" s="15" t="s">
        <v>62</v>
      </c>
      <c r="G19" s="8" t="s">
        <v>60</v>
      </c>
      <c r="H19" s="7"/>
      <c r="I19" s="30">
        <v>46296</v>
      </c>
      <c r="J19" s="30">
        <v>46301</v>
      </c>
      <c r="K19" s="6">
        <f>J19-I19</f>
        <v>5</v>
      </c>
    </row>
    <row r="20" spans="3:11" ht="27" customHeight="1" x14ac:dyDescent="0.25">
      <c r="C20" s="20"/>
      <c r="D20" s="41"/>
      <c r="E20" s="41"/>
      <c r="F20" s="41"/>
      <c r="G20" s="41"/>
      <c r="H20" s="41"/>
      <c r="I20" s="41"/>
      <c r="J20" s="41"/>
      <c r="K20" s="19"/>
    </row>
    <row r="21" spans="3:11" ht="22.7" customHeight="1" x14ac:dyDescent="0.25">
      <c r="C21" s="8" t="s">
        <v>32</v>
      </c>
      <c r="D21" s="7"/>
      <c r="E21" s="6">
        <v>378</v>
      </c>
      <c r="F21" s="15" t="s">
        <v>61</v>
      </c>
      <c r="G21" s="8" t="s">
        <v>60</v>
      </c>
      <c r="H21" s="7"/>
      <c r="I21" s="30">
        <v>46301</v>
      </c>
      <c r="J21" s="30">
        <v>46310</v>
      </c>
      <c r="K21" s="6">
        <f>J21-I21</f>
        <v>9</v>
      </c>
    </row>
    <row r="22" spans="3:11" ht="22.7" customHeight="1" x14ac:dyDescent="0.25">
      <c r="C22" s="20"/>
      <c r="D22" s="41"/>
      <c r="E22" s="41"/>
      <c r="F22" s="41"/>
      <c r="G22" s="41"/>
      <c r="H22" s="41"/>
      <c r="I22" s="41"/>
      <c r="J22" s="41"/>
      <c r="K22" s="19"/>
    </row>
    <row r="23" spans="3:11" ht="22.7" customHeight="1" x14ac:dyDescent="0.25">
      <c r="C23" s="8" t="s">
        <v>29</v>
      </c>
      <c r="D23" s="7"/>
      <c r="E23" s="31">
        <v>378</v>
      </c>
      <c r="F23" s="15" t="str">
        <f>F19</f>
        <v>MASARAT SILVER</v>
      </c>
      <c r="G23" s="8" t="s">
        <v>60</v>
      </c>
      <c r="H23" s="7"/>
      <c r="I23" s="30">
        <v>46310</v>
      </c>
      <c r="J23" s="30">
        <v>46314</v>
      </c>
      <c r="K23" s="6">
        <f>J23-I23</f>
        <v>4</v>
      </c>
    </row>
    <row r="24" spans="3:11" ht="31.5" customHeight="1" x14ac:dyDescent="0.25">
      <c r="C24" s="29"/>
      <c r="D24" s="28"/>
      <c r="E24" s="28"/>
      <c r="F24" s="28"/>
      <c r="G24" s="28"/>
      <c r="H24" s="28"/>
      <c r="I24" s="28"/>
      <c r="J24" s="27" t="s">
        <v>28</v>
      </c>
      <c r="K24" s="26">
        <f>SUM(K23,K21,K19)</f>
        <v>18</v>
      </c>
    </row>
    <row r="25" spans="3:11" ht="15" customHeight="1" x14ac:dyDescent="0.25">
      <c r="C25" s="68" t="s">
        <v>27</v>
      </c>
      <c r="D25" s="68"/>
      <c r="E25" s="68"/>
      <c r="F25" s="68"/>
      <c r="G25" s="68"/>
      <c r="H25" s="68"/>
      <c r="I25" s="68"/>
      <c r="J25" s="68"/>
      <c r="K25" s="68"/>
    </row>
    <row r="26" spans="3:11" x14ac:dyDescent="0.25">
      <c r="C26" s="23"/>
      <c r="D26" s="23"/>
      <c r="E26" s="23"/>
      <c r="F26" s="1"/>
      <c r="G26" s="1"/>
      <c r="H26" s="1"/>
      <c r="I26" s="1"/>
      <c r="J26" s="1"/>
      <c r="K26" s="1"/>
    </row>
    <row r="27" spans="3:11" ht="23.25" customHeight="1" x14ac:dyDescent="0.25">
      <c r="C27" s="67" t="s">
        <v>26</v>
      </c>
      <c r="D27" s="66"/>
      <c r="E27" s="66"/>
      <c r="F27" s="66"/>
      <c r="G27" s="66"/>
      <c r="H27" s="66"/>
      <c r="I27" s="66"/>
      <c r="J27" s="66"/>
      <c r="K27" s="65"/>
    </row>
    <row r="28" spans="3:11" ht="27" customHeight="1" x14ac:dyDescent="0.25">
      <c r="C28" s="22" t="s">
        <v>25</v>
      </c>
      <c r="D28" s="10" t="s">
        <v>24</v>
      </c>
      <c r="E28" s="12" t="s">
        <v>23</v>
      </c>
      <c r="F28" s="11"/>
      <c r="G28" s="10" t="s">
        <v>22</v>
      </c>
      <c r="H28" s="12" t="s">
        <v>21</v>
      </c>
      <c r="I28" s="11"/>
      <c r="J28" s="21" t="s">
        <v>20</v>
      </c>
      <c r="K28" s="10" t="s">
        <v>19</v>
      </c>
    </row>
    <row r="29" spans="3:11" ht="25.5" customHeight="1" x14ac:dyDescent="0.25">
      <c r="C29" s="6">
        <v>1</v>
      </c>
      <c r="D29" s="6">
        <v>317</v>
      </c>
      <c r="E29" s="20" t="s">
        <v>18</v>
      </c>
      <c r="F29" s="19"/>
      <c r="G29" s="6" t="s">
        <v>14</v>
      </c>
      <c r="H29" s="18">
        <v>46296</v>
      </c>
      <c r="I29" s="17"/>
      <c r="J29" s="16"/>
      <c r="K29" s="15"/>
    </row>
    <row r="30" spans="3:11" ht="25.5" customHeight="1" x14ac:dyDescent="0.25">
      <c r="C30" s="6">
        <v>2</v>
      </c>
      <c r="D30" s="6">
        <v>317</v>
      </c>
      <c r="E30" s="20" t="s">
        <v>17</v>
      </c>
      <c r="F30" s="19"/>
      <c r="G30" s="6" t="s">
        <v>14</v>
      </c>
      <c r="H30" s="18">
        <v>46301</v>
      </c>
      <c r="I30" s="17"/>
      <c r="J30" s="16"/>
      <c r="K30" s="15"/>
    </row>
    <row r="31" spans="3:11" ht="25.5" customHeight="1" x14ac:dyDescent="0.25">
      <c r="C31" s="6">
        <v>3</v>
      </c>
      <c r="D31" s="6">
        <v>317</v>
      </c>
      <c r="E31" s="20" t="s">
        <v>16</v>
      </c>
      <c r="F31" s="19"/>
      <c r="G31" s="6" t="s">
        <v>14</v>
      </c>
      <c r="H31" s="18">
        <v>46310</v>
      </c>
      <c r="I31" s="17"/>
      <c r="J31" s="16"/>
      <c r="K31" s="15"/>
    </row>
    <row r="32" spans="3:11" ht="25.5" customHeight="1" x14ac:dyDescent="0.25">
      <c r="C32" s="6">
        <v>4</v>
      </c>
      <c r="D32" s="6">
        <v>317</v>
      </c>
      <c r="E32" s="20" t="s">
        <v>15</v>
      </c>
      <c r="F32" s="19"/>
      <c r="G32" s="6" t="s">
        <v>14</v>
      </c>
      <c r="H32" s="18">
        <v>46314</v>
      </c>
      <c r="I32" s="17"/>
      <c r="J32" s="16"/>
      <c r="K32" s="15"/>
    </row>
    <row r="33" spans="3:11" ht="23.25" customHeight="1" x14ac:dyDescent="0.25">
      <c r="C33" s="67" t="s">
        <v>13</v>
      </c>
      <c r="D33" s="66"/>
      <c r="E33" s="66"/>
      <c r="F33" s="66"/>
      <c r="G33" s="66"/>
      <c r="H33" s="66"/>
      <c r="I33" s="66"/>
      <c r="J33" s="66"/>
      <c r="K33" s="65"/>
    </row>
    <row r="34" spans="3:11" ht="27" customHeight="1" x14ac:dyDescent="0.25">
      <c r="C34" s="12" t="s">
        <v>12</v>
      </c>
      <c r="D34" s="11"/>
      <c r="E34" s="10" t="s">
        <v>11</v>
      </c>
      <c r="F34" s="12" t="s">
        <v>10</v>
      </c>
      <c r="G34" s="11"/>
      <c r="H34" s="10" t="s">
        <v>9</v>
      </c>
      <c r="I34" s="10" t="s">
        <v>8</v>
      </c>
      <c r="J34" s="10" t="s">
        <v>7</v>
      </c>
      <c r="K34" s="10" t="s">
        <v>6</v>
      </c>
    </row>
    <row r="35" spans="3:11" ht="24.75" customHeight="1" x14ac:dyDescent="0.25">
      <c r="C35" s="8"/>
      <c r="D35" s="7"/>
      <c r="E35" s="9">
        <v>46296</v>
      </c>
      <c r="F35" s="8" t="s">
        <v>5</v>
      </c>
      <c r="G35" s="7"/>
      <c r="H35" s="6" t="s">
        <v>2</v>
      </c>
      <c r="I35" s="6" t="s">
        <v>3</v>
      </c>
      <c r="J35" s="5">
        <v>0.33333333333333331</v>
      </c>
      <c r="K35" s="5">
        <v>0.4201388888888889</v>
      </c>
    </row>
    <row r="36" spans="3:11" ht="24.75" customHeight="1" x14ac:dyDescent="0.25">
      <c r="C36" s="8"/>
      <c r="D36" s="7"/>
      <c r="E36" s="9">
        <v>46315</v>
      </c>
      <c r="F36" s="8" t="s">
        <v>4</v>
      </c>
      <c r="G36" s="7"/>
      <c r="H36" s="6" t="s">
        <v>3</v>
      </c>
      <c r="I36" s="6" t="s">
        <v>2</v>
      </c>
      <c r="J36" s="5">
        <v>0.53125</v>
      </c>
      <c r="K36" s="5">
        <v>0.29166666666666669</v>
      </c>
    </row>
    <row r="37" spans="3:11" x14ac:dyDescent="0.25">
      <c r="C37" s="1"/>
      <c r="D37" s="1"/>
      <c r="E37" s="1"/>
      <c r="F37" s="1"/>
      <c r="G37" s="1"/>
      <c r="H37" s="1"/>
      <c r="I37" s="1"/>
      <c r="J37" s="1"/>
      <c r="K37" s="1"/>
    </row>
    <row r="38" spans="3:11" x14ac:dyDescent="0.25">
      <c r="C38" s="4" t="s">
        <v>1</v>
      </c>
      <c r="D38" s="4"/>
      <c r="E38" s="4"/>
      <c r="F38" s="4"/>
      <c r="G38" s="4"/>
      <c r="H38" s="1"/>
      <c r="I38" s="1"/>
      <c r="J38" s="1"/>
      <c r="K38" s="1"/>
    </row>
    <row r="39" spans="3:11" x14ac:dyDescent="0.25">
      <c r="C39" s="3" t="s">
        <v>0</v>
      </c>
      <c r="D39" s="3"/>
      <c r="E39" s="3"/>
      <c r="F39" s="3"/>
      <c r="G39" s="3"/>
      <c r="H39" s="1"/>
      <c r="I39" s="1"/>
      <c r="J39" s="1"/>
      <c r="K39" s="2"/>
    </row>
    <row r="40" spans="3:11" x14ac:dyDescent="0.25">
      <c r="C40" s="1"/>
      <c r="D40" s="1"/>
      <c r="E40" s="1"/>
      <c r="F40" s="1"/>
      <c r="G40" s="1"/>
      <c r="H40" s="1"/>
      <c r="I40" s="1"/>
      <c r="J40" s="1"/>
      <c r="K40" s="1"/>
    </row>
  </sheetData>
  <mergeCells count="52">
    <mergeCell ref="C2:K2"/>
    <mergeCell ref="C3:K3"/>
    <mergeCell ref="C4:K4"/>
    <mergeCell ref="C5:K5"/>
    <mergeCell ref="E7:F7"/>
    <mergeCell ref="G7:H7"/>
    <mergeCell ref="G8:H8"/>
    <mergeCell ref="E10:F10"/>
    <mergeCell ref="H10:I10"/>
    <mergeCell ref="D12:F12"/>
    <mergeCell ref="G12:H12"/>
    <mergeCell ref="J12:K12"/>
    <mergeCell ref="C15:H15"/>
    <mergeCell ref="I15:K15"/>
    <mergeCell ref="C17:K17"/>
    <mergeCell ref="D13:F13"/>
    <mergeCell ref="G13:H13"/>
    <mergeCell ref="J13:K13"/>
    <mergeCell ref="D14:F14"/>
    <mergeCell ref="G14:H14"/>
    <mergeCell ref="J14:K14"/>
    <mergeCell ref="C18:D18"/>
    <mergeCell ref="G18:H18"/>
    <mergeCell ref="C19:D19"/>
    <mergeCell ref="G19:H19"/>
    <mergeCell ref="C20:K20"/>
    <mergeCell ref="C21:D21"/>
    <mergeCell ref="G21:H21"/>
    <mergeCell ref="C22:K22"/>
    <mergeCell ref="C23:D23"/>
    <mergeCell ref="G23:H23"/>
    <mergeCell ref="C25:K25"/>
    <mergeCell ref="C27:K27"/>
    <mergeCell ref="E28:F28"/>
    <mergeCell ref="H28:I28"/>
    <mergeCell ref="F35:G35"/>
    <mergeCell ref="E29:F29"/>
    <mergeCell ref="H29:I29"/>
    <mergeCell ref="E30:F30"/>
    <mergeCell ref="H30:I30"/>
    <mergeCell ref="E31:F31"/>
    <mergeCell ref="H31:I31"/>
    <mergeCell ref="C36:D36"/>
    <mergeCell ref="F36:G36"/>
    <mergeCell ref="C38:G38"/>
    <mergeCell ref="C39:G39"/>
    <mergeCell ref="E32:F32"/>
    <mergeCell ref="H32:I32"/>
    <mergeCell ref="C33:K33"/>
    <mergeCell ref="C34:D34"/>
    <mergeCell ref="F34:G34"/>
    <mergeCell ref="C35:D35"/>
  </mergeCells>
  <printOptions horizontalCentered="1" verticalCentered="1"/>
  <pageMargins left="0.25" right="0.25" top="0.5" bottom="0.5" header="0.3" footer="0.3"/>
  <pageSetup paperSize="9" scale="69" fitToHeight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5ECC1-615F-447E-935D-43853FAB876E}">
  <sheetPr codeName="Sheet28">
    <pageSetUpPr fitToPage="1"/>
  </sheetPr>
  <dimension ref="C1:K39"/>
  <sheetViews>
    <sheetView showGridLines="0" view="pageBreakPreview" topLeftCell="A3" zoomScale="87" zoomScaleNormal="93" zoomScaleSheetLayoutView="72" workbookViewId="0">
      <selection activeCell="C4" sqref="C4:K4"/>
    </sheetView>
  </sheetViews>
  <sheetFormatPr defaultRowHeight="15" x14ac:dyDescent="0.25"/>
  <cols>
    <col min="3" max="3" width="4.42578125" customWidth="1"/>
    <col min="4" max="4" width="10" customWidth="1"/>
    <col min="5" max="5" width="11.5703125" customWidth="1"/>
    <col min="6" max="6" width="33.28515625" customWidth="1"/>
    <col min="7" max="7" width="21.7109375" bestFit="1" customWidth="1"/>
    <col min="8" max="8" width="9.140625" customWidth="1"/>
    <col min="9" max="9" width="15" customWidth="1"/>
    <col min="10" max="10" width="18.7109375" customWidth="1"/>
    <col min="11" max="11" width="17.7109375" customWidth="1"/>
  </cols>
  <sheetData>
    <row r="1" spans="3:11" x14ac:dyDescent="0.25">
      <c r="F1" t="s">
        <v>59</v>
      </c>
    </row>
    <row r="2" spans="3:11" ht="27.75" x14ac:dyDescent="0.35">
      <c r="C2" s="64" t="s">
        <v>58</v>
      </c>
      <c r="D2" s="64"/>
      <c r="E2" s="64"/>
      <c r="F2" s="63"/>
      <c r="G2" s="63"/>
      <c r="H2" s="63"/>
      <c r="I2" s="63"/>
      <c r="J2" s="63"/>
      <c r="K2" s="63"/>
    </row>
    <row r="3" spans="3:11" x14ac:dyDescent="0.25">
      <c r="C3" s="62"/>
      <c r="D3" s="62"/>
      <c r="E3" s="62"/>
      <c r="F3" s="61"/>
      <c r="G3" s="61"/>
      <c r="H3" s="61"/>
      <c r="I3" s="61"/>
      <c r="J3" s="61"/>
      <c r="K3" s="61"/>
    </row>
    <row r="4" spans="3:11" x14ac:dyDescent="0.25">
      <c r="C4" s="62" t="s">
        <v>57</v>
      </c>
      <c r="D4" s="62"/>
      <c r="E4" s="62"/>
      <c r="F4" s="61"/>
      <c r="G4" s="61"/>
      <c r="H4" s="61"/>
      <c r="I4" s="61"/>
      <c r="J4" s="61"/>
      <c r="K4" s="61"/>
    </row>
    <row r="5" spans="3:11" ht="71.45" customHeight="1" thickBot="1" x14ac:dyDescent="0.3">
      <c r="C5" s="60" t="s">
        <v>56</v>
      </c>
      <c r="D5" s="60"/>
      <c r="E5" s="60"/>
      <c r="F5" s="59"/>
      <c r="G5" s="59"/>
      <c r="H5" s="59"/>
      <c r="I5" s="59"/>
      <c r="J5" s="59"/>
      <c r="K5" s="59"/>
    </row>
    <row r="6" spans="3:11" ht="8.4499999999999993" customHeight="1" x14ac:dyDescent="0.25">
      <c r="C6" s="58"/>
      <c r="D6" s="58"/>
      <c r="E6" s="58"/>
      <c r="F6" s="1"/>
      <c r="G6" s="1"/>
      <c r="H6" s="1"/>
      <c r="I6" s="1"/>
      <c r="J6" s="1"/>
      <c r="K6" s="1"/>
    </row>
    <row r="7" spans="3:11" x14ac:dyDescent="0.25">
      <c r="C7" s="50"/>
      <c r="D7" s="50"/>
      <c r="E7" s="57" t="s">
        <v>55</v>
      </c>
      <c r="F7" s="57"/>
      <c r="G7" s="56" t="s">
        <v>54</v>
      </c>
      <c r="H7" s="56"/>
      <c r="I7" s="1"/>
      <c r="J7" s="50"/>
      <c r="K7" s="1"/>
    </row>
    <row r="8" spans="3:11" x14ac:dyDescent="0.25">
      <c r="C8" s="1"/>
      <c r="D8" s="1"/>
      <c r="E8" s="1"/>
      <c r="F8" s="1"/>
      <c r="G8" s="56"/>
      <c r="H8" s="56"/>
      <c r="I8" s="1"/>
      <c r="J8" s="1"/>
      <c r="K8" s="1"/>
    </row>
    <row r="9" spans="3:11" x14ac:dyDescent="0.25">
      <c r="C9" s="1"/>
      <c r="D9" s="1"/>
      <c r="E9" s="1"/>
      <c r="F9" s="1"/>
      <c r="G9" s="1"/>
      <c r="H9" s="50"/>
      <c r="I9" s="1"/>
      <c r="J9" s="1"/>
      <c r="K9" s="1"/>
    </row>
    <row r="10" spans="3:11" ht="21.75" customHeight="1" thickBot="1" x14ac:dyDescent="0.3">
      <c r="C10" s="51"/>
      <c r="D10" s="55" t="s">
        <v>53</v>
      </c>
      <c r="E10" s="54" t="str">
        <f>D13</f>
        <v>MANZAR ALAM</v>
      </c>
      <c r="F10" s="54"/>
      <c r="G10" s="53"/>
      <c r="H10" s="52" t="s">
        <v>52</v>
      </c>
      <c r="I10" s="52"/>
      <c r="J10" s="51"/>
      <c r="K10" s="51"/>
    </row>
    <row r="11" spans="3:11" x14ac:dyDescent="0.25">
      <c r="C11" s="1"/>
      <c r="D11" s="1"/>
      <c r="E11" s="1"/>
      <c r="F11" s="1"/>
      <c r="G11" s="1"/>
      <c r="H11" s="50"/>
      <c r="I11" s="49"/>
      <c r="J11" s="1"/>
      <c r="K11" s="1"/>
    </row>
    <row r="12" spans="3:11" ht="27" customHeight="1" x14ac:dyDescent="0.25">
      <c r="C12" s="22" t="s">
        <v>25</v>
      </c>
      <c r="D12" s="45" t="s">
        <v>51</v>
      </c>
      <c r="E12" s="48"/>
      <c r="F12" s="44"/>
      <c r="G12" s="47" t="s">
        <v>50</v>
      </c>
      <c r="H12" s="46"/>
      <c r="I12" s="22" t="s">
        <v>49</v>
      </c>
      <c r="J12" s="45" t="s">
        <v>48</v>
      </c>
      <c r="K12" s="44"/>
    </row>
    <row r="13" spans="3:11" ht="24.75" customHeight="1" x14ac:dyDescent="0.25">
      <c r="C13" s="15">
        <v>1</v>
      </c>
      <c r="D13" s="20" t="s">
        <v>91</v>
      </c>
      <c r="E13" s="41"/>
      <c r="F13" s="19"/>
      <c r="G13" s="8" t="s">
        <v>90</v>
      </c>
      <c r="H13" s="7"/>
      <c r="I13" s="40"/>
      <c r="J13" s="43"/>
      <c r="K13" s="42"/>
    </row>
    <row r="14" spans="3:11" ht="29.25" customHeight="1" x14ac:dyDescent="0.25">
      <c r="C14" s="69" t="s">
        <v>89</v>
      </c>
      <c r="D14" s="69"/>
      <c r="E14" s="69"/>
      <c r="F14" s="69"/>
      <c r="G14" s="69"/>
      <c r="H14" s="69"/>
      <c r="I14" s="37" t="s">
        <v>63</v>
      </c>
      <c r="J14" s="24"/>
      <c r="K14" s="24"/>
    </row>
    <row r="15" spans="3:11" x14ac:dyDescent="0.25">
      <c r="C15" s="1"/>
      <c r="D15" s="1"/>
      <c r="E15" s="1"/>
      <c r="F15" s="1"/>
      <c r="G15" s="1"/>
      <c r="H15" s="1"/>
      <c r="I15" s="1"/>
      <c r="J15" s="1"/>
      <c r="K15" s="1"/>
    </row>
    <row r="16" spans="3:11" ht="23.25" customHeight="1" x14ac:dyDescent="0.25">
      <c r="C16" s="67" t="s">
        <v>41</v>
      </c>
      <c r="D16" s="66"/>
      <c r="E16" s="66"/>
      <c r="F16" s="66"/>
      <c r="G16" s="66"/>
      <c r="H16" s="66"/>
      <c r="I16" s="66"/>
      <c r="J16" s="66"/>
      <c r="K16" s="65"/>
    </row>
    <row r="17" spans="3:11" ht="27" customHeight="1" x14ac:dyDescent="0.25">
      <c r="C17" s="36" t="s">
        <v>40</v>
      </c>
      <c r="D17" s="35"/>
      <c r="E17" s="34" t="s">
        <v>39</v>
      </c>
      <c r="F17" s="34" t="s">
        <v>38</v>
      </c>
      <c r="G17" s="36" t="s">
        <v>37</v>
      </c>
      <c r="H17" s="35"/>
      <c r="I17" s="34" t="s">
        <v>36</v>
      </c>
      <c r="J17" s="34" t="s">
        <v>35</v>
      </c>
      <c r="K17" s="34" t="s">
        <v>34</v>
      </c>
    </row>
    <row r="18" spans="3:11" ht="22.7" customHeight="1" x14ac:dyDescent="0.25">
      <c r="C18" s="8" t="s">
        <v>29</v>
      </c>
      <c r="D18" s="7"/>
      <c r="E18" s="6">
        <v>378</v>
      </c>
      <c r="F18" s="15" t="s">
        <v>62</v>
      </c>
      <c r="G18" s="8" t="s">
        <v>60</v>
      </c>
      <c r="H18" s="7"/>
      <c r="I18" s="30">
        <v>46296</v>
      </c>
      <c r="J18" s="30">
        <v>46301</v>
      </c>
      <c r="K18" s="6">
        <f>J18-I18</f>
        <v>5</v>
      </c>
    </row>
    <row r="19" spans="3:11" ht="27" customHeight="1" x14ac:dyDescent="0.25">
      <c r="C19" s="20"/>
      <c r="D19" s="41"/>
      <c r="E19" s="41"/>
      <c r="F19" s="41"/>
      <c r="G19" s="41"/>
      <c r="H19" s="41"/>
      <c r="I19" s="41"/>
      <c r="J19" s="41"/>
      <c r="K19" s="19"/>
    </row>
    <row r="20" spans="3:11" ht="22.7" customHeight="1" x14ac:dyDescent="0.25">
      <c r="C20" s="8" t="s">
        <v>32</v>
      </c>
      <c r="D20" s="7"/>
      <c r="E20" s="6">
        <v>378</v>
      </c>
      <c r="F20" s="15" t="s">
        <v>61</v>
      </c>
      <c r="G20" s="8" t="s">
        <v>60</v>
      </c>
      <c r="H20" s="7"/>
      <c r="I20" s="30">
        <v>46301</v>
      </c>
      <c r="J20" s="30">
        <v>46310</v>
      </c>
      <c r="K20" s="6">
        <f>J20-I20</f>
        <v>9</v>
      </c>
    </row>
    <row r="21" spans="3:11" ht="22.7" customHeight="1" x14ac:dyDescent="0.25">
      <c r="C21" s="20"/>
      <c r="D21" s="41"/>
      <c r="E21" s="41"/>
      <c r="F21" s="41"/>
      <c r="G21" s="41"/>
      <c r="H21" s="41"/>
      <c r="I21" s="41"/>
      <c r="J21" s="41"/>
      <c r="K21" s="19"/>
    </row>
    <row r="22" spans="3:11" ht="22.7" customHeight="1" x14ac:dyDescent="0.25">
      <c r="C22" s="8" t="s">
        <v>29</v>
      </c>
      <c r="D22" s="7"/>
      <c r="E22" s="31">
        <v>378</v>
      </c>
      <c r="F22" s="15" t="str">
        <f>F18</f>
        <v>MASARAT SILVER</v>
      </c>
      <c r="G22" s="8" t="s">
        <v>60</v>
      </c>
      <c r="H22" s="7"/>
      <c r="I22" s="30">
        <v>46310</v>
      </c>
      <c r="J22" s="30">
        <v>46314</v>
      </c>
      <c r="K22" s="6">
        <f>J22-I22</f>
        <v>4</v>
      </c>
    </row>
    <row r="23" spans="3:11" ht="31.5" customHeight="1" x14ac:dyDescent="0.25">
      <c r="C23" s="29"/>
      <c r="D23" s="28"/>
      <c r="E23" s="28"/>
      <c r="F23" s="28"/>
      <c r="G23" s="28"/>
      <c r="H23" s="28"/>
      <c r="I23" s="28"/>
      <c r="J23" s="27" t="s">
        <v>28</v>
      </c>
      <c r="K23" s="26">
        <f>SUM(K22,K20,K18)</f>
        <v>18</v>
      </c>
    </row>
    <row r="24" spans="3:11" ht="15" customHeight="1" x14ac:dyDescent="0.25">
      <c r="C24" s="68" t="s">
        <v>27</v>
      </c>
      <c r="D24" s="68"/>
      <c r="E24" s="68"/>
      <c r="F24" s="68"/>
      <c r="G24" s="68"/>
      <c r="H24" s="68"/>
      <c r="I24" s="68"/>
      <c r="J24" s="68"/>
      <c r="K24" s="68"/>
    </row>
    <row r="25" spans="3:11" x14ac:dyDescent="0.25">
      <c r="C25" s="23"/>
      <c r="D25" s="23"/>
      <c r="E25" s="23"/>
      <c r="F25" s="1"/>
      <c r="G25" s="1"/>
      <c r="H25" s="1"/>
      <c r="I25" s="1"/>
      <c r="J25" s="1"/>
      <c r="K25" s="1"/>
    </row>
    <row r="26" spans="3:11" ht="23.25" customHeight="1" x14ac:dyDescent="0.25">
      <c r="C26" s="67" t="s">
        <v>26</v>
      </c>
      <c r="D26" s="66"/>
      <c r="E26" s="66"/>
      <c r="F26" s="66"/>
      <c r="G26" s="66"/>
      <c r="H26" s="66"/>
      <c r="I26" s="66"/>
      <c r="J26" s="66"/>
      <c r="K26" s="65"/>
    </row>
    <row r="27" spans="3:11" ht="27" customHeight="1" x14ac:dyDescent="0.25">
      <c r="C27" s="22" t="s">
        <v>25</v>
      </c>
      <c r="D27" s="10" t="s">
        <v>24</v>
      </c>
      <c r="E27" s="12" t="s">
        <v>23</v>
      </c>
      <c r="F27" s="11"/>
      <c r="G27" s="10" t="s">
        <v>22</v>
      </c>
      <c r="H27" s="12" t="s">
        <v>21</v>
      </c>
      <c r="I27" s="11"/>
      <c r="J27" s="21" t="s">
        <v>20</v>
      </c>
      <c r="K27" s="10" t="s">
        <v>19</v>
      </c>
    </row>
    <row r="28" spans="3:11" ht="25.5" customHeight="1" x14ac:dyDescent="0.25">
      <c r="C28" s="6">
        <v>1</v>
      </c>
      <c r="D28" s="6">
        <v>317</v>
      </c>
      <c r="E28" s="20" t="s">
        <v>18</v>
      </c>
      <c r="F28" s="19"/>
      <c r="G28" s="6" t="s">
        <v>14</v>
      </c>
      <c r="H28" s="18">
        <v>46296</v>
      </c>
      <c r="I28" s="17"/>
      <c r="J28" s="16"/>
      <c r="K28" s="15"/>
    </row>
    <row r="29" spans="3:11" ht="25.5" customHeight="1" x14ac:dyDescent="0.25">
      <c r="C29" s="6">
        <v>2</v>
      </c>
      <c r="D29" s="6">
        <v>317</v>
      </c>
      <c r="E29" s="20" t="s">
        <v>17</v>
      </c>
      <c r="F29" s="19"/>
      <c r="G29" s="6" t="s">
        <v>14</v>
      </c>
      <c r="H29" s="18">
        <v>46301</v>
      </c>
      <c r="I29" s="17"/>
      <c r="J29" s="16"/>
      <c r="K29" s="15"/>
    </row>
    <row r="30" spans="3:11" ht="25.5" customHeight="1" x14ac:dyDescent="0.25">
      <c r="C30" s="6">
        <v>3</v>
      </c>
      <c r="D30" s="6">
        <v>317</v>
      </c>
      <c r="E30" s="20" t="s">
        <v>16</v>
      </c>
      <c r="F30" s="19"/>
      <c r="G30" s="6" t="s">
        <v>14</v>
      </c>
      <c r="H30" s="18">
        <v>46310</v>
      </c>
      <c r="I30" s="17"/>
      <c r="J30" s="16"/>
      <c r="K30" s="15"/>
    </row>
    <row r="31" spans="3:11" ht="25.5" customHeight="1" x14ac:dyDescent="0.25">
      <c r="C31" s="6">
        <v>4</v>
      </c>
      <c r="D31" s="6">
        <v>317</v>
      </c>
      <c r="E31" s="20" t="s">
        <v>15</v>
      </c>
      <c r="F31" s="19"/>
      <c r="G31" s="6" t="s">
        <v>14</v>
      </c>
      <c r="H31" s="18">
        <v>46314</v>
      </c>
      <c r="I31" s="17"/>
      <c r="J31" s="16"/>
      <c r="K31" s="15"/>
    </row>
    <row r="32" spans="3:11" ht="23.25" customHeight="1" x14ac:dyDescent="0.25">
      <c r="C32" s="67" t="s">
        <v>13</v>
      </c>
      <c r="D32" s="66"/>
      <c r="E32" s="66"/>
      <c r="F32" s="66"/>
      <c r="G32" s="66"/>
      <c r="H32" s="66"/>
      <c r="I32" s="66"/>
      <c r="J32" s="66"/>
      <c r="K32" s="65"/>
    </row>
    <row r="33" spans="3:11" ht="27" customHeight="1" x14ac:dyDescent="0.25">
      <c r="C33" s="12" t="s">
        <v>12</v>
      </c>
      <c r="D33" s="11"/>
      <c r="E33" s="10" t="s">
        <v>11</v>
      </c>
      <c r="F33" s="12" t="s">
        <v>10</v>
      </c>
      <c r="G33" s="11"/>
      <c r="H33" s="10" t="s">
        <v>9</v>
      </c>
      <c r="I33" s="10" t="s">
        <v>8</v>
      </c>
      <c r="J33" s="10" t="s">
        <v>7</v>
      </c>
      <c r="K33" s="10" t="s">
        <v>6</v>
      </c>
    </row>
    <row r="34" spans="3:11" ht="24.75" customHeight="1" x14ac:dyDescent="0.25">
      <c r="C34" s="8"/>
      <c r="D34" s="7"/>
      <c r="E34" s="9">
        <v>46296</v>
      </c>
      <c r="F34" s="8" t="s">
        <v>5</v>
      </c>
      <c r="G34" s="7"/>
      <c r="H34" s="6" t="s">
        <v>2</v>
      </c>
      <c r="I34" s="6" t="s">
        <v>3</v>
      </c>
      <c r="J34" s="5">
        <v>0.33333333333333331</v>
      </c>
      <c r="K34" s="5">
        <v>0.4201388888888889</v>
      </c>
    </row>
    <row r="35" spans="3:11" ht="24.75" customHeight="1" x14ac:dyDescent="0.25">
      <c r="C35" s="8"/>
      <c r="D35" s="7"/>
      <c r="E35" s="9">
        <v>46315</v>
      </c>
      <c r="F35" s="8" t="s">
        <v>4</v>
      </c>
      <c r="G35" s="7"/>
      <c r="H35" s="6" t="s">
        <v>3</v>
      </c>
      <c r="I35" s="6" t="s">
        <v>2</v>
      </c>
      <c r="J35" s="5">
        <v>0.53125</v>
      </c>
      <c r="K35" s="5">
        <v>0.29166666666666669</v>
      </c>
    </row>
    <row r="36" spans="3:11" x14ac:dyDescent="0.25">
      <c r="C36" s="1"/>
      <c r="D36" s="1"/>
      <c r="E36" s="1"/>
      <c r="F36" s="1"/>
      <c r="G36" s="1"/>
      <c r="H36" s="1"/>
      <c r="I36" s="1"/>
      <c r="J36" s="1"/>
      <c r="K36" s="1"/>
    </row>
    <row r="37" spans="3:11" x14ac:dyDescent="0.25">
      <c r="C37" s="4" t="s">
        <v>1</v>
      </c>
      <c r="D37" s="4"/>
      <c r="E37" s="4"/>
      <c r="F37" s="4"/>
      <c r="G37" s="4"/>
      <c r="H37" s="1"/>
      <c r="I37" s="1"/>
      <c r="J37" s="1"/>
      <c r="K37" s="1"/>
    </row>
    <row r="38" spans="3:11" x14ac:dyDescent="0.25">
      <c r="C38" s="3" t="s">
        <v>0</v>
      </c>
      <c r="D38" s="3"/>
      <c r="E38" s="3"/>
      <c r="F38" s="3"/>
      <c r="G38" s="3"/>
      <c r="H38" s="1"/>
      <c r="I38" s="1"/>
      <c r="J38" s="1"/>
      <c r="K38" s="2"/>
    </row>
    <row r="39" spans="3:11" x14ac:dyDescent="0.25">
      <c r="C39" s="1"/>
      <c r="D39" s="1"/>
      <c r="E39" s="1"/>
      <c r="F39" s="1"/>
      <c r="G39" s="1"/>
      <c r="H39" s="1"/>
      <c r="I39" s="1"/>
      <c r="J39" s="1"/>
      <c r="K39" s="1"/>
    </row>
  </sheetData>
  <mergeCells count="49">
    <mergeCell ref="C2:K2"/>
    <mergeCell ref="C3:K3"/>
    <mergeCell ref="C4:K4"/>
    <mergeCell ref="C5:K5"/>
    <mergeCell ref="E7:F7"/>
    <mergeCell ref="G7:H7"/>
    <mergeCell ref="D13:F13"/>
    <mergeCell ref="G13:H13"/>
    <mergeCell ref="J13:K13"/>
    <mergeCell ref="G8:H8"/>
    <mergeCell ref="E10:F10"/>
    <mergeCell ref="H10:I10"/>
    <mergeCell ref="D12:F12"/>
    <mergeCell ref="G12:H12"/>
    <mergeCell ref="J12:K12"/>
    <mergeCell ref="C14:H14"/>
    <mergeCell ref="I14:K14"/>
    <mergeCell ref="C16:K16"/>
    <mergeCell ref="C17:D17"/>
    <mergeCell ref="G17:H17"/>
    <mergeCell ref="C18:D18"/>
    <mergeCell ref="G18:H18"/>
    <mergeCell ref="C19:K19"/>
    <mergeCell ref="C20:D20"/>
    <mergeCell ref="G20:H20"/>
    <mergeCell ref="C21:K21"/>
    <mergeCell ref="C22:D22"/>
    <mergeCell ref="G22:H22"/>
    <mergeCell ref="C24:K24"/>
    <mergeCell ref="C26:K26"/>
    <mergeCell ref="E27:F27"/>
    <mergeCell ref="H27:I27"/>
    <mergeCell ref="E28:F28"/>
    <mergeCell ref="H28:I28"/>
    <mergeCell ref="E29:F29"/>
    <mergeCell ref="H29:I29"/>
    <mergeCell ref="E30:F30"/>
    <mergeCell ref="H30:I30"/>
    <mergeCell ref="E31:F31"/>
    <mergeCell ref="H31:I31"/>
    <mergeCell ref="C37:G37"/>
    <mergeCell ref="C38:G38"/>
    <mergeCell ref="C32:K32"/>
    <mergeCell ref="C33:D33"/>
    <mergeCell ref="F33:G33"/>
    <mergeCell ref="C34:D34"/>
    <mergeCell ref="F34:G34"/>
    <mergeCell ref="C35:D35"/>
    <mergeCell ref="F35:G35"/>
  </mergeCells>
  <printOptions horizontalCentered="1" verticalCentered="1"/>
  <pageMargins left="0.25" right="0.25" top="0.5" bottom="0.5" header="0.3" footer="0.3"/>
  <pageSetup paperSize="9" scale="69" fitToHeight="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0A19A-2268-40DA-B8B7-4B2B9B47C75F}">
  <sheetPr codeName="Sheet29">
    <pageSetUpPr fitToPage="1"/>
  </sheetPr>
  <dimension ref="C1:K40"/>
  <sheetViews>
    <sheetView showGridLines="0" view="pageBreakPreview" topLeftCell="A15" zoomScale="87" zoomScaleNormal="93" zoomScaleSheetLayoutView="72" workbookViewId="0">
      <selection activeCell="C4" sqref="C4:K4"/>
    </sheetView>
  </sheetViews>
  <sheetFormatPr defaultRowHeight="15" x14ac:dyDescent="0.25"/>
  <cols>
    <col min="3" max="3" width="4.42578125" customWidth="1"/>
    <col min="4" max="4" width="10" customWidth="1"/>
    <col min="5" max="5" width="11.5703125" customWidth="1"/>
    <col min="6" max="6" width="33.28515625" customWidth="1"/>
    <col min="7" max="7" width="21.7109375" bestFit="1" customWidth="1"/>
    <col min="8" max="8" width="9.140625" customWidth="1"/>
    <col min="9" max="9" width="15" customWidth="1"/>
    <col min="10" max="10" width="18.7109375" customWidth="1"/>
    <col min="11" max="11" width="17.7109375" customWidth="1"/>
  </cols>
  <sheetData>
    <row r="1" spans="3:11" x14ac:dyDescent="0.25">
      <c r="F1" t="s">
        <v>59</v>
      </c>
    </row>
    <row r="2" spans="3:11" ht="27.75" x14ac:dyDescent="0.35">
      <c r="C2" s="64" t="s">
        <v>58</v>
      </c>
      <c r="D2" s="64"/>
      <c r="E2" s="64"/>
      <c r="F2" s="63"/>
      <c r="G2" s="63"/>
      <c r="H2" s="63"/>
      <c r="I2" s="63"/>
      <c r="J2" s="63"/>
      <c r="K2" s="63"/>
    </row>
    <row r="3" spans="3:11" x14ac:dyDescent="0.25">
      <c r="C3" s="62"/>
      <c r="D3" s="62"/>
      <c r="E3" s="62"/>
      <c r="F3" s="61"/>
      <c r="G3" s="61"/>
      <c r="H3" s="61"/>
      <c r="I3" s="61"/>
      <c r="J3" s="61"/>
      <c r="K3" s="61"/>
    </row>
    <row r="4" spans="3:11" x14ac:dyDescent="0.25">
      <c r="C4" s="62" t="s">
        <v>57</v>
      </c>
      <c r="D4" s="62"/>
      <c r="E4" s="62"/>
      <c r="F4" s="61"/>
      <c r="G4" s="61"/>
      <c r="H4" s="61"/>
      <c r="I4" s="61"/>
      <c r="J4" s="61"/>
      <c r="K4" s="61"/>
    </row>
    <row r="5" spans="3:11" ht="71.45" customHeight="1" thickBot="1" x14ac:dyDescent="0.3">
      <c r="C5" s="60" t="s">
        <v>56</v>
      </c>
      <c r="D5" s="60"/>
      <c r="E5" s="60"/>
      <c r="F5" s="59"/>
      <c r="G5" s="59"/>
      <c r="H5" s="59"/>
      <c r="I5" s="59"/>
      <c r="J5" s="59"/>
      <c r="K5" s="59"/>
    </row>
    <row r="6" spans="3:11" ht="8.4499999999999993" customHeight="1" x14ac:dyDescent="0.25">
      <c r="C6" s="58"/>
      <c r="D6" s="58"/>
      <c r="E6" s="58"/>
      <c r="F6" s="1"/>
      <c r="G6" s="1"/>
      <c r="H6" s="1"/>
      <c r="I6" s="1"/>
      <c r="J6" s="1"/>
      <c r="K6" s="1"/>
    </row>
    <row r="7" spans="3:11" x14ac:dyDescent="0.25">
      <c r="C7" s="50"/>
      <c r="D7" s="50"/>
      <c r="E7" s="57" t="s">
        <v>55</v>
      </c>
      <c r="F7" s="57"/>
      <c r="G7" s="56" t="s">
        <v>54</v>
      </c>
      <c r="H7" s="56"/>
      <c r="I7" s="1"/>
      <c r="J7" s="50"/>
      <c r="K7" s="1"/>
    </row>
    <row r="8" spans="3:11" x14ac:dyDescent="0.25">
      <c r="C8" s="1"/>
      <c r="D8" s="1"/>
      <c r="E8" s="1"/>
      <c r="F8" s="1"/>
      <c r="G8" s="56"/>
      <c r="H8" s="56"/>
      <c r="I8" s="1"/>
      <c r="J8" s="1"/>
      <c r="K8" s="1"/>
    </row>
    <row r="9" spans="3:11" x14ac:dyDescent="0.25">
      <c r="C9" s="1"/>
      <c r="D9" s="1"/>
      <c r="E9" s="1"/>
      <c r="F9" s="1"/>
      <c r="G9" s="1"/>
      <c r="H9" s="50"/>
      <c r="I9" s="1"/>
      <c r="J9" s="1"/>
      <c r="K9" s="1"/>
    </row>
    <row r="10" spans="3:11" ht="21.75" customHeight="1" thickBot="1" x14ac:dyDescent="0.3">
      <c r="C10" s="51"/>
      <c r="D10" s="55" t="s">
        <v>53</v>
      </c>
      <c r="E10" s="54" t="str">
        <f>D13</f>
        <v xml:space="preserve">ZAFAR IQBAL </v>
      </c>
      <c r="F10" s="54"/>
      <c r="G10" s="53"/>
      <c r="H10" s="52" t="s">
        <v>52</v>
      </c>
      <c r="I10" s="52"/>
      <c r="J10" s="51"/>
      <c r="K10" s="51"/>
    </row>
    <row r="11" spans="3:11" x14ac:dyDescent="0.25">
      <c r="C11" s="1"/>
      <c r="D11" s="1"/>
      <c r="E11" s="1"/>
      <c r="F11" s="1"/>
      <c r="G11" s="1"/>
      <c r="H11" s="50"/>
      <c r="I11" s="49"/>
      <c r="J11" s="1"/>
      <c r="K11" s="1"/>
    </row>
    <row r="12" spans="3:11" ht="27" customHeight="1" x14ac:dyDescent="0.25">
      <c r="C12" s="22" t="s">
        <v>25</v>
      </c>
      <c r="D12" s="45" t="s">
        <v>51</v>
      </c>
      <c r="E12" s="48"/>
      <c r="F12" s="44"/>
      <c r="G12" s="47" t="s">
        <v>50</v>
      </c>
      <c r="H12" s="46"/>
      <c r="I12" s="22" t="s">
        <v>49</v>
      </c>
      <c r="J12" s="45" t="s">
        <v>48</v>
      </c>
      <c r="K12" s="44"/>
    </row>
    <row r="13" spans="3:11" ht="24.75" customHeight="1" x14ac:dyDescent="0.25">
      <c r="C13" s="15">
        <v>1</v>
      </c>
      <c r="D13" s="20" t="s">
        <v>95</v>
      </c>
      <c r="E13" s="41"/>
      <c r="F13" s="19"/>
      <c r="G13" s="8" t="s">
        <v>94</v>
      </c>
      <c r="H13" s="7"/>
      <c r="I13" s="40"/>
      <c r="J13" s="43"/>
      <c r="K13" s="42"/>
    </row>
    <row r="14" spans="3:11" ht="24.75" customHeight="1" x14ac:dyDescent="0.25">
      <c r="C14" s="15">
        <v>2</v>
      </c>
      <c r="D14" s="20" t="s">
        <v>93</v>
      </c>
      <c r="E14" s="41"/>
      <c r="F14" s="19"/>
      <c r="G14" s="8" t="s">
        <v>92</v>
      </c>
      <c r="H14" s="7"/>
      <c r="I14" s="40"/>
      <c r="J14" s="43"/>
      <c r="K14" s="42"/>
    </row>
    <row r="15" spans="3:11" ht="29.25" customHeight="1" x14ac:dyDescent="0.25">
      <c r="C15" s="69" t="s">
        <v>43</v>
      </c>
      <c r="D15" s="69"/>
      <c r="E15" s="69"/>
      <c r="F15" s="69"/>
      <c r="G15" s="69"/>
      <c r="H15" s="69"/>
      <c r="I15" s="37" t="s">
        <v>42</v>
      </c>
      <c r="J15" s="24"/>
      <c r="K15" s="24"/>
    </row>
    <row r="16" spans="3:11" x14ac:dyDescent="0.25">
      <c r="C16" s="1"/>
      <c r="D16" s="1"/>
      <c r="E16" s="1"/>
      <c r="F16" s="1"/>
      <c r="G16" s="1"/>
      <c r="H16" s="1"/>
      <c r="I16" s="1"/>
      <c r="J16" s="1"/>
      <c r="K16" s="1"/>
    </row>
    <row r="17" spans="3:11" ht="23.25" customHeight="1" x14ac:dyDescent="0.25">
      <c r="C17" s="67" t="s">
        <v>41</v>
      </c>
      <c r="D17" s="66"/>
      <c r="E17" s="66"/>
      <c r="F17" s="66"/>
      <c r="G17" s="66"/>
      <c r="H17" s="66"/>
      <c r="I17" s="66"/>
      <c r="J17" s="66"/>
      <c r="K17" s="65"/>
    </row>
    <row r="18" spans="3:11" ht="27" customHeight="1" x14ac:dyDescent="0.25">
      <c r="C18" s="36" t="s">
        <v>40</v>
      </c>
      <c r="D18" s="35"/>
      <c r="E18" s="34" t="s">
        <v>39</v>
      </c>
      <c r="F18" s="34" t="s">
        <v>38</v>
      </c>
      <c r="G18" s="36" t="s">
        <v>37</v>
      </c>
      <c r="H18" s="35"/>
      <c r="I18" s="34" t="s">
        <v>36</v>
      </c>
      <c r="J18" s="34" t="s">
        <v>35</v>
      </c>
      <c r="K18" s="34" t="s">
        <v>34</v>
      </c>
    </row>
    <row r="19" spans="3:11" ht="22.7" customHeight="1" x14ac:dyDescent="0.25">
      <c r="C19" s="8" t="s">
        <v>29</v>
      </c>
      <c r="D19" s="7"/>
      <c r="E19" s="6">
        <v>378</v>
      </c>
      <c r="F19" s="15" t="s">
        <v>62</v>
      </c>
      <c r="G19" s="8" t="s">
        <v>60</v>
      </c>
      <c r="H19" s="7"/>
      <c r="I19" s="30">
        <v>46296</v>
      </c>
      <c r="J19" s="30">
        <v>46301</v>
      </c>
      <c r="K19" s="6">
        <f>J19-I19</f>
        <v>5</v>
      </c>
    </row>
    <row r="20" spans="3:11" ht="27" customHeight="1" x14ac:dyDescent="0.25">
      <c r="C20" s="20"/>
      <c r="D20" s="41"/>
      <c r="E20" s="41"/>
      <c r="F20" s="41"/>
      <c r="G20" s="41"/>
      <c r="H20" s="41"/>
      <c r="I20" s="41"/>
      <c r="J20" s="41"/>
      <c r="K20" s="19"/>
    </row>
    <row r="21" spans="3:11" ht="22.7" customHeight="1" x14ac:dyDescent="0.25">
      <c r="C21" s="8" t="s">
        <v>32</v>
      </c>
      <c r="D21" s="7"/>
      <c r="E21" s="6">
        <v>378</v>
      </c>
      <c r="F21" s="15" t="s">
        <v>61</v>
      </c>
      <c r="G21" s="8" t="s">
        <v>60</v>
      </c>
      <c r="H21" s="7"/>
      <c r="I21" s="30">
        <v>46301</v>
      </c>
      <c r="J21" s="30">
        <v>46310</v>
      </c>
      <c r="K21" s="6">
        <f>J21-I21</f>
        <v>9</v>
      </c>
    </row>
    <row r="22" spans="3:11" ht="22.7" customHeight="1" x14ac:dyDescent="0.25">
      <c r="C22" s="20"/>
      <c r="D22" s="41"/>
      <c r="E22" s="41"/>
      <c r="F22" s="41"/>
      <c r="G22" s="41"/>
      <c r="H22" s="41"/>
      <c r="I22" s="41"/>
      <c r="J22" s="41"/>
      <c r="K22" s="19"/>
    </row>
    <row r="23" spans="3:11" ht="22.7" customHeight="1" x14ac:dyDescent="0.25">
      <c r="C23" s="8" t="s">
        <v>29</v>
      </c>
      <c r="D23" s="7"/>
      <c r="E23" s="31">
        <v>378</v>
      </c>
      <c r="F23" s="15" t="str">
        <f>F19</f>
        <v>MASARAT SILVER</v>
      </c>
      <c r="G23" s="8" t="s">
        <v>60</v>
      </c>
      <c r="H23" s="7"/>
      <c r="I23" s="30">
        <v>46310</v>
      </c>
      <c r="J23" s="30">
        <v>46314</v>
      </c>
      <c r="K23" s="6">
        <f>J23-I23</f>
        <v>4</v>
      </c>
    </row>
    <row r="24" spans="3:11" ht="31.5" customHeight="1" x14ac:dyDescent="0.25">
      <c r="C24" s="29"/>
      <c r="D24" s="28"/>
      <c r="E24" s="28"/>
      <c r="F24" s="28"/>
      <c r="G24" s="28"/>
      <c r="H24" s="28"/>
      <c r="I24" s="28"/>
      <c r="J24" s="27" t="s">
        <v>28</v>
      </c>
      <c r="K24" s="26">
        <f>SUM(K23,K21,K19)</f>
        <v>18</v>
      </c>
    </row>
    <row r="25" spans="3:11" ht="15" customHeight="1" x14ac:dyDescent="0.25">
      <c r="C25" s="68" t="s">
        <v>27</v>
      </c>
      <c r="D25" s="68"/>
      <c r="E25" s="68"/>
      <c r="F25" s="68"/>
      <c r="G25" s="68"/>
      <c r="H25" s="68"/>
      <c r="I25" s="68"/>
      <c r="J25" s="68"/>
      <c r="K25" s="68"/>
    </row>
    <row r="26" spans="3:11" x14ac:dyDescent="0.25">
      <c r="C26" s="23"/>
      <c r="D26" s="23"/>
      <c r="E26" s="23"/>
      <c r="F26" s="1"/>
      <c r="G26" s="1"/>
      <c r="H26" s="1"/>
      <c r="I26" s="1"/>
      <c r="J26" s="1"/>
      <c r="K26" s="1"/>
    </row>
    <row r="27" spans="3:11" ht="23.25" customHeight="1" x14ac:dyDescent="0.25">
      <c r="C27" s="67" t="s">
        <v>26</v>
      </c>
      <c r="D27" s="66"/>
      <c r="E27" s="66"/>
      <c r="F27" s="66"/>
      <c r="G27" s="66"/>
      <c r="H27" s="66"/>
      <c r="I27" s="66"/>
      <c r="J27" s="66"/>
      <c r="K27" s="65"/>
    </row>
    <row r="28" spans="3:11" ht="27" customHeight="1" x14ac:dyDescent="0.25">
      <c r="C28" s="22" t="s">
        <v>25</v>
      </c>
      <c r="D28" s="10" t="s">
        <v>24</v>
      </c>
      <c r="E28" s="12" t="s">
        <v>23</v>
      </c>
      <c r="F28" s="11"/>
      <c r="G28" s="10" t="s">
        <v>22</v>
      </c>
      <c r="H28" s="12" t="s">
        <v>21</v>
      </c>
      <c r="I28" s="11"/>
      <c r="J28" s="21" t="s">
        <v>20</v>
      </c>
      <c r="K28" s="10" t="s">
        <v>19</v>
      </c>
    </row>
    <row r="29" spans="3:11" ht="25.5" customHeight="1" x14ac:dyDescent="0.25">
      <c r="C29" s="6">
        <v>1</v>
      </c>
      <c r="D29" s="6">
        <v>317</v>
      </c>
      <c r="E29" s="20" t="s">
        <v>18</v>
      </c>
      <c r="F29" s="19"/>
      <c r="G29" s="6" t="s">
        <v>14</v>
      </c>
      <c r="H29" s="18">
        <v>46296</v>
      </c>
      <c r="I29" s="17"/>
      <c r="J29" s="16"/>
      <c r="K29" s="15"/>
    </row>
    <row r="30" spans="3:11" ht="25.5" customHeight="1" x14ac:dyDescent="0.25">
      <c r="C30" s="6">
        <v>2</v>
      </c>
      <c r="D30" s="6">
        <v>317</v>
      </c>
      <c r="E30" s="20" t="s">
        <v>17</v>
      </c>
      <c r="F30" s="19"/>
      <c r="G30" s="6" t="s">
        <v>14</v>
      </c>
      <c r="H30" s="18">
        <v>46301</v>
      </c>
      <c r="I30" s="17"/>
      <c r="J30" s="16"/>
      <c r="K30" s="15"/>
    </row>
    <row r="31" spans="3:11" ht="25.5" customHeight="1" x14ac:dyDescent="0.25">
      <c r="C31" s="6">
        <v>3</v>
      </c>
      <c r="D31" s="6">
        <v>317</v>
      </c>
      <c r="E31" s="20" t="s">
        <v>16</v>
      </c>
      <c r="F31" s="19"/>
      <c r="G31" s="6" t="s">
        <v>14</v>
      </c>
      <c r="H31" s="18">
        <v>46310</v>
      </c>
      <c r="I31" s="17"/>
      <c r="J31" s="16"/>
      <c r="K31" s="15"/>
    </row>
    <row r="32" spans="3:11" ht="25.5" customHeight="1" x14ac:dyDescent="0.25">
      <c r="C32" s="6">
        <v>4</v>
      </c>
      <c r="D32" s="6">
        <v>317</v>
      </c>
      <c r="E32" s="20" t="s">
        <v>15</v>
      </c>
      <c r="F32" s="19"/>
      <c r="G32" s="6" t="s">
        <v>14</v>
      </c>
      <c r="H32" s="18">
        <v>46314</v>
      </c>
      <c r="I32" s="17"/>
      <c r="J32" s="16"/>
      <c r="K32" s="15"/>
    </row>
    <row r="33" spans="3:11" ht="23.25" customHeight="1" x14ac:dyDescent="0.25">
      <c r="C33" s="67" t="s">
        <v>13</v>
      </c>
      <c r="D33" s="66"/>
      <c r="E33" s="66"/>
      <c r="F33" s="66"/>
      <c r="G33" s="66"/>
      <c r="H33" s="66"/>
      <c r="I33" s="66"/>
      <c r="J33" s="66"/>
      <c r="K33" s="65"/>
    </row>
    <row r="34" spans="3:11" ht="27" customHeight="1" x14ac:dyDescent="0.25">
      <c r="C34" s="12" t="s">
        <v>12</v>
      </c>
      <c r="D34" s="11"/>
      <c r="E34" s="10" t="s">
        <v>11</v>
      </c>
      <c r="F34" s="12" t="s">
        <v>10</v>
      </c>
      <c r="G34" s="11"/>
      <c r="H34" s="10" t="s">
        <v>9</v>
      </c>
      <c r="I34" s="10" t="s">
        <v>8</v>
      </c>
      <c r="J34" s="10" t="s">
        <v>7</v>
      </c>
      <c r="K34" s="10" t="s">
        <v>6</v>
      </c>
    </row>
    <row r="35" spans="3:11" ht="24.75" customHeight="1" x14ac:dyDescent="0.25">
      <c r="C35" s="8"/>
      <c r="D35" s="7"/>
      <c r="E35" s="9">
        <v>46296</v>
      </c>
      <c r="F35" s="8" t="s">
        <v>5</v>
      </c>
      <c r="G35" s="7"/>
      <c r="H35" s="6" t="s">
        <v>2</v>
      </c>
      <c r="I35" s="6" t="s">
        <v>3</v>
      </c>
      <c r="J35" s="5">
        <v>0.33333333333333331</v>
      </c>
      <c r="K35" s="5">
        <v>0.4201388888888889</v>
      </c>
    </row>
    <row r="36" spans="3:11" ht="24.75" customHeight="1" x14ac:dyDescent="0.25">
      <c r="C36" s="8"/>
      <c r="D36" s="7"/>
      <c r="E36" s="9">
        <v>46315</v>
      </c>
      <c r="F36" s="8" t="s">
        <v>4</v>
      </c>
      <c r="G36" s="7"/>
      <c r="H36" s="6" t="s">
        <v>3</v>
      </c>
      <c r="I36" s="6" t="s">
        <v>2</v>
      </c>
      <c r="J36" s="5">
        <v>0.53125</v>
      </c>
      <c r="K36" s="5">
        <v>0.29166666666666669</v>
      </c>
    </row>
    <row r="37" spans="3:11" x14ac:dyDescent="0.25">
      <c r="C37" s="1"/>
      <c r="D37" s="1"/>
      <c r="E37" s="1"/>
      <c r="F37" s="1"/>
      <c r="G37" s="1"/>
      <c r="H37" s="1"/>
      <c r="I37" s="1"/>
      <c r="J37" s="1"/>
      <c r="K37" s="1"/>
    </row>
    <row r="38" spans="3:11" x14ac:dyDescent="0.25">
      <c r="C38" s="4" t="s">
        <v>1</v>
      </c>
      <c r="D38" s="4"/>
      <c r="E38" s="4"/>
      <c r="F38" s="4"/>
      <c r="G38" s="4"/>
      <c r="H38" s="1"/>
      <c r="I38" s="1"/>
      <c r="J38" s="1"/>
      <c r="K38" s="1"/>
    </row>
    <row r="39" spans="3:11" x14ac:dyDescent="0.25">
      <c r="C39" s="3" t="s">
        <v>0</v>
      </c>
      <c r="D39" s="3"/>
      <c r="E39" s="3"/>
      <c r="F39" s="3"/>
      <c r="G39" s="3"/>
      <c r="H39" s="1"/>
      <c r="I39" s="1"/>
      <c r="J39" s="1"/>
      <c r="K39" s="2"/>
    </row>
    <row r="40" spans="3:11" x14ac:dyDescent="0.25">
      <c r="C40" s="1"/>
      <c r="D40" s="1"/>
      <c r="E40" s="1"/>
      <c r="F40" s="1"/>
      <c r="G40" s="1"/>
      <c r="H40" s="1"/>
      <c r="I40" s="1"/>
      <c r="J40" s="1"/>
      <c r="K40" s="1"/>
    </row>
  </sheetData>
  <mergeCells count="52">
    <mergeCell ref="C2:K2"/>
    <mergeCell ref="C3:K3"/>
    <mergeCell ref="C4:K4"/>
    <mergeCell ref="C5:K5"/>
    <mergeCell ref="E7:F7"/>
    <mergeCell ref="G7:H7"/>
    <mergeCell ref="G8:H8"/>
    <mergeCell ref="E10:F10"/>
    <mergeCell ref="H10:I10"/>
    <mergeCell ref="D12:F12"/>
    <mergeCell ref="G12:H12"/>
    <mergeCell ref="J12:K12"/>
    <mergeCell ref="D13:F13"/>
    <mergeCell ref="G13:H13"/>
    <mergeCell ref="J13:K13"/>
    <mergeCell ref="D14:F14"/>
    <mergeCell ref="G14:H14"/>
    <mergeCell ref="J14:K14"/>
    <mergeCell ref="C15:H15"/>
    <mergeCell ref="I15:K15"/>
    <mergeCell ref="C17:K17"/>
    <mergeCell ref="C18:D18"/>
    <mergeCell ref="G18:H18"/>
    <mergeCell ref="C19:D19"/>
    <mergeCell ref="G19:H19"/>
    <mergeCell ref="C20:K20"/>
    <mergeCell ref="C21:D21"/>
    <mergeCell ref="G21:H21"/>
    <mergeCell ref="C22:K22"/>
    <mergeCell ref="C23:D23"/>
    <mergeCell ref="G23:H23"/>
    <mergeCell ref="C25:K25"/>
    <mergeCell ref="C27:K27"/>
    <mergeCell ref="E28:F28"/>
    <mergeCell ref="H28:I28"/>
    <mergeCell ref="E29:F29"/>
    <mergeCell ref="H29:I29"/>
    <mergeCell ref="E30:F30"/>
    <mergeCell ref="H30:I30"/>
    <mergeCell ref="E31:F31"/>
    <mergeCell ref="H31:I31"/>
    <mergeCell ref="E32:F32"/>
    <mergeCell ref="H32:I32"/>
    <mergeCell ref="C38:G38"/>
    <mergeCell ref="C39:G39"/>
    <mergeCell ref="C33:K33"/>
    <mergeCell ref="C34:D34"/>
    <mergeCell ref="F34:G34"/>
    <mergeCell ref="C35:D35"/>
    <mergeCell ref="F35:G35"/>
    <mergeCell ref="C36:D36"/>
    <mergeCell ref="F36:G36"/>
  </mergeCells>
  <printOptions horizontalCentered="1" verticalCentered="1"/>
  <pageMargins left="0.25" right="0.25" top="0.5" bottom="0.5" header="0.3" footer="0.3"/>
  <pageSetup paperSize="9" scale="69" fitToHeight="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5324F-A823-4102-8EAB-BAA9E97DA302}">
  <sheetPr codeName="Sheet30">
    <pageSetUpPr fitToPage="1"/>
  </sheetPr>
  <dimension ref="C1:K43"/>
  <sheetViews>
    <sheetView showGridLines="0" view="pageBreakPreview" topLeftCell="A5" zoomScale="87" zoomScaleNormal="93" zoomScaleSheetLayoutView="72" workbookViewId="0">
      <selection activeCell="C4" sqref="C4:K4"/>
    </sheetView>
  </sheetViews>
  <sheetFormatPr defaultRowHeight="15" x14ac:dyDescent="0.25"/>
  <cols>
    <col min="3" max="3" width="4.42578125" customWidth="1"/>
    <col min="4" max="4" width="10" customWidth="1"/>
    <col min="5" max="5" width="11.5703125" customWidth="1"/>
    <col min="6" max="6" width="33.28515625" customWidth="1"/>
    <col min="7" max="7" width="21.7109375" bestFit="1" customWidth="1"/>
    <col min="8" max="8" width="9.140625" customWidth="1"/>
    <col min="9" max="9" width="15" customWidth="1"/>
    <col min="10" max="10" width="18.7109375" customWidth="1"/>
    <col min="11" max="11" width="17.7109375" customWidth="1"/>
  </cols>
  <sheetData>
    <row r="1" spans="3:11" x14ac:dyDescent="0.25">
      <c r="F1" t="s">
        <v>59</v>
      </c>
    </row>
    <row r="2" spans="3:11" ht="27.75" x14ac:dyDescent="0.35">
      <c r="C2" s="64" t="s">
        <v>58</v>
      </c>
      <c r="D2" s="64"/>
      <c r="E2" s="64"/>
      <c r="F2" s="63"/>
      <c r="G2" s="63"/>
      <c r="H2" s="63"/>
      <c r="I2" s="63"/>
      <c r="J2" s="63"/>
      <c r="K2" s="63"/>
    </row>
    <row r="3" spans="3:11" x14ac:dyDescent="0.25">
      <c r="C3" s="62"/>
      <c r="D3" s="62"/>
      <c r="E3" s="62"/>
      <c r="F3" s="61"/>
      <c r="G3" s="61"/>
      <c r="H3" s="61"/>
      <c r="I3" s="61"/>
      <c r="J3" s="61"/>
      <c r="K3" s="61"/>
    </row>
    <row r="4" spans="3:11" x14ac:dyDescent="0.25">
      <c r="C4" s="62" t="s">
        <v>57</v>
      </c>
      <c r="D4" s="62"/>
      <c r="E4" s="62"/>
      <c r="F4" s="61"/>
      <c r="G4" s="61"/>
      <c r="H4" s="61"/>
      <c r="I4" s="61"/>
      <c r="J4" s="61"/>
      <c r="K4" s="61"/>
    </row>
    <row r="5" spans="3:11" ht="71.45" customHeight="1" thickBot="1" x14ac:dyDescent="0.3">
      <c r="C5" s="60" t="s">
        <v>56</v>
      </c>
      <c r="D5" s="60"/>
      <c r="E5" s="60"/>
      <c r="F5" s="59"/>
      <c r="G5" s="59"/>
      <c r="H5" s="59"/>
      <c r="I5" s="59"/>
      <c r="J5" s="59"/>
      <c r="K5" s="59"/>
    </row>
    <row r="6" spans="3:11" ht="8.4499999999999993" customHeight="1" x14ac:dyDescent="0.25">
      <c r="C6" s="58"/>
      <c r="D6" s="58"/>
      <c r="E6" s="58"/>
      <c r="F6" s="1"/>
      <c r="G6" s="1"/>
      <c r="H6" s="1"/>
      <c r="I6" s="1"/>
      <c r="J6" s="1"/>
      <c r="K6" s="1"/>
    </row>
    <row r="7" spans="3:11" x14ac:dyDescent="0.25">
      <c r="C7" s="50"/>
      <c r="D7" s="50"/>
      <c r="E7" s="57" t="s">
        <v>55</v>
      </c>
      <c r="F7" s="57"/>
      <c r="G7" s="56" t="s">
        <v>54</v>
      </c>
      <c r="H7" s="56"/>
      <c r="I7" s="1"/>
      <c r="J7" s="50"/>
      <c r="K7" s="1"/>
    </row>
    <row r="8" spans="3:11" x14ac:dyDescent="0.25">
      <c r="C8" s="1"/>
      <c r="D8" s="1"/>
      <c r="E8" s="1"/>
      <c r="F8" s="1"/>
      <c r="G8" s="56"/>
      <c r="H8" s="56"/>
      <c r="I8" s="1"/>
      <c r="J8" s="1"/>
      <c r="K8" s="1"/>
    </row>
    <row r="9" spans="3:11" x14ac:dyDescent="0.25">
      <c r="C9" s="1"/>
      <c r="D9" s="1"/>
      <c r="E9" s="1"/>
      <c r="F9" s="1"/>
      <c r="G9" s="1"/>
      <c r="H9" s="50"/>
      <c r="I9" s="1"/>
      <c r="J9" s="1"/>
      <c r="K9" s="1"/>
    </row>
    <row r="10" spans="3:11" ht="21.75" customHeight="1" thickBot="1" x14ac:dyDescent="0.3">
      <c r="C10" s="51"/>
      <c r="D10" s="55" t="s">
        <v>53</v>
      </c>
      <c r="E10" s="54" t="str">
        <f>D13</f>
        <v>NASEER AHMED/MR</v>
      </c>
      <c r="F10" s="54"/>
      <c r="G10" s="53"/>
      <c r="H10" s="52" t="s">
        <v>52</v>
      </c>
      <c r="I10" s="52"/>
      <c r="J10" s="51"/>
      <c r="K10" s="51"/>
    </row>
    <row r="11" spans="3:11" x14ac:dyDescent="0.25">
      <c r="C11" s="1"/>
      <c r="D11" s="1"/>
      <c r="E11" s="1"/>
      <c r="F11" s="1"/>
      <c r="G11" s="1"/>
      <c r="H11" s="50"/>
      <c r="I11" s="49"/>
      <c r="J11" s="1"/>
      <c r="K11" s="1"/>
    </row>
    <row r="12" spans="3:11" ht="27" customHeight="1" x14ac:dyDescent="0.25">
      <c r="C12" s="22" t="s">
        <v>25</v>
      </c>
      <c r="D12" s="45" t="s">
        <v>51</v>
      </c>
      <c r="E12" s="48"/>
      <c r="F12" s="44"/>
      <c r="G12" s="47" t="s">
        <v>50</v>
      </c>
      <c r="H12" s="46"/>
      <c r="I12" s="22" t="s">
        <v>49</v>
      </c>
      <c r="J12" s="45" t="s">
        <v>48</v>
      </c>
      <c r="K12" s="44"/>
    </row>
    <row r="13" spans="3:11" ht="24.75" customHeight="1" x14ac:dyDescent="0.25">
      <c r="C13" s="15">
        <v>1</v>
      </c>
      <c r="D13" s="20" t="s">
        <v>108</v>
      </c>
      <c r="E13" s="41"/>
      <c r="F13" s="19"/>
      <c r="G13" s="8" t="s">
        <v>107</v>
      </c>
      <c r="H13" s="7"/>
      <c r="I13" s="40"/>
      <c r="J13" s="43"/>
      <c r="K13" s="42"/>
    </row>
    <row r="14" spans="3:11" ht="24.75" customHeight="1" x14ac:dyDescent="0.25">
      <c r="C14" s="15">
        <v>2</v>
      </c>
      <c r="D14" s="20" t="s">
        <v>106</v>
      </c>
      <c r="E14" s="41"/>
      <c r="F14" s="19"/>
      <c r="G14" s="8" t="s">
        <v>105</v>
      </c>
      <c r="H14" s="7"/>
      <c r="I14" s="40"/>
      <c r="J14" s="43"/>
      <c r="K14" s="42"/>
    </row>
    <row r="15" spans="3:11" ht="24.75" customHeight="1" x14ac:dyDescent="0.25">
      <c r="C15" s="15">
        <v>3</v>
      </c>
      <c r="D15" s="20" t="s">
        <v>104</v>
      </c>
      <c r="E15" s="41"/>
      <c r="F15" s="19"/>
      <c r="G15" s="8" t="s">
        <v>103</v>
      </c>
      <c r="H15" s="7"/>
      <c r="I15" s="40"/>
      <c r="J15" s="39"/>
      <c r="K15" s="38"/>
    </row>
    <row r="16" spans="3:11" ht="24.75" customHeight="1" x14ac:dyDescent="0.25">
      <c r="C16" s="15">
        <v>4</v>
      </c>
      <c r="D16" s="20" t="s">
        <v>102</v>
      </c>
      <c r="E16" s="41"/>
      <c r="F16" s="19"/>
      <c r="G16" s="8" t="s">
        <v>101</v>
      </c>
      <c r="H16" s="7"/>
      <c r="I16" s="40"/>
      <c r="J16" s="39"/>
      <c r="K16" s="38"/>
    </row>
    <row r="17" spans="3:11" ht="24.75" customHeight="1" x14ac:dyDescent="0.25">
      <c r="C17" s="15">
        <v>5</v>
      </c>
      <c r="D17" s="20" t="s">
        <v>100</v>
      </c>
      <c r="E17" s="41"/>
      <c r="F17" s="19"/>
      <c r="G17" s="8" t="s">
        <v>99</v>
      </c>
      <c r="H17" s="7"/>
      <c r="I17" s="40"/>
      <c r="J17" s="43"/>
      <c r="K17" s="42"/>
    </row>
    <row r="18" spans="3:11" ht="29.25" customHeight="1" x14ac:dyDescent="0.25">
      <c r="C18" s="69" t="s">
        <v>98</v>
      </c>
      <c r="D18" s="69"/>
      <c r="E18" s="69"/>
      <c r="F18" s="69"/>
      <c r="G18" s="69"/>
      <c r="H18" s="69"/>
      <c r="I18" s="37" t="s">
        <v>97</v>
      </c>
      <c r="J18" s="24"/>
      <c r="K18" s="24"/>
    </row>
    <row r="19" spans="3:11" x14ac:dyDescent="0.25">
      <c r="C19" s="1"/>
      <c r="D19" s="1"/>
      <c r="E19" s="1"/>
      <c r="F19" s="1"/>
      <c r="G19" s="1"/>
      <c r="H19" s="1"/>
      <c r="I19" s="1"/>
      <c r="J19" s="1"/>
      <c r="K19" s="1"/>
    </row>
    <row r="20" spans="3:11" ht="23.25" customHeight="1" x14ac:dyDescent="0.25">
      <c r="C20" s="67" t="s">
        <v>41</v>
      </c>
      <c r="D20" s="66"/>
      <c r="E20" s="66"/>
      <c r="F20" s="66"/>
      <c r="G20" s="66"/>
      <c r="H20" s="66"/>
      <c r="I20" s="66"/>
      <c r="J20" s="66"/>
      <c r="K20" s="65"/>
    </row>
    <row r="21" spans="3:11" ht="27" customHeight="1" x14ac:dyDescent="0.25">
      <c r="C21" s="36" t="s">
        <v>40</v>
      </c>
      <c r="D21" s="35"/>
      <c r="E21" s="34" t="s">
        <v>39</v>
      </c>
      <c r="F21" s="34" t="s">
        <v>38</v>
      </c>
      <c r="G21" s="36" t="s">
        <v>37</v>
      </c>
      <c r="H21" s="35"/>
      <c r="I21" s="34" t="s">
        <v>36</v>
      </c>
      <c r="J21" s="34" t="s">
        <v>35</v>
      </c>
      <c r="K21" s="34" t="s">
        <v>34</v>
      </c>
    </row>
    <row r="22" spans="3:11" ht="22.7" customHeight="1" x14ac:dyDescent="0.25">
      <c r="C22" s="8" t="s">
        <v>29</v>
      </c>
      <c r="D22" s="7"/>
      <c r="E22" s="6">
        <v>378</v>
      </c>
      <c r="F22" s="15" t="s">
        <v>62</v>
      </c>
      <c r="G22" s="8" t="s">
        <v>96</v>
      </c>
      <c r="H22" s="7"/>
      <c r="I22" s="30">
        <v>46296</v>
      </c>
      <c r="J22" s="30">
        <v>46301</v>
      </c>
      <c r="K22" s="6">
        <f>J22-I22</f>
        <v>5</v>
      </c>
    </row>
    <row r="23" spans="3:11" ht="27" customHeight="1" x14ac:dyDescent="0.25">
      <c r="C23" s="20"/>
      <c r="D23" s="41"/>
      <c r="E23" s="41"/>
      <c r="F23" s="41"/>
      <c r="G23" s="41"/>
      <c r="H23" s="41"/>
      <c r="I23" s="41"/>
      <c r="J23" s="41"/>
      <c r="K23" s="19"/>
    </row>
    <row r="24" spans="3:11" ht="22.7" customHeight="1" x14ac:dyDescent="0.25">
      <c r="C24" s="8" t="s">
        <v>32</v>
      </c>
      <c r="D24" s="7"/>
      <c r="E24" s="6">
        <v>378</v>
      </c>
      <c r="F24" s="15" t="s">
        <v>61</v>
      </c>
      <c r="G24" s="8" t="s">
        <v>96</v>
      </c>
      <c r="H24" s="7"/>
      <c r="I24" s="30">
        <v>46301</v>
      </c>
      <c r="J24" s="30">
        <v>46310</v>
      </c>
      <c r="K24" s="6">
        <f>J24-I24</f>
        <v>9</v>
      </c>
    </row>
    <row r="25" spans="3:11" ht="22.7" customHeight="1" x14ac:dyDescent="0.25">
      <c r="C25" s="20"/>
      <c r="D25" s="41"/>
      <c r="E25" s="41"/>
      <c r="F25" s="41"/>
      <c r="G25" s="41"/>
      <c r="H25" s="41"/>
      <c r="I25" s="41"/>
      <c r="J25" s="41"/>
      <c r="K25" s="19"/>
    </row>
    <row r="26" spans="3:11" ht="22.7" customHeight="1" x14ac:dyDescent="0.25">
      <c r="C26" s="8" t="s">
        <v>29</v>
      </c>
      <c r="D26" s="7"/>
      <c r="E26" s="31">
        <v>378</v>
      </c>
      <c r="F26" s="15" t="str">
        <f>F22</f>
        <v>MASARAT SILVER</v>
      </c>
      <c r="G26" s="8" t="s">
        <v>96</v>
      </c>
      <c r="H26" s="7"/>
      <c r="I26" s="30">
        <v>46310</v>
      </c>
      <c r="J26" s="30">
        <v>46314</v>
      </c>
      <c r="K26" s="6">
        <f>J26-I26</f>
        <v>4</v>
      </c>
    </row>
    <row r="27" spans="3:11" ht="31.5" customHeight="1" x14ac:dyDescent="0.25">
      <c r="C27" s="29"/>
      <c r="D27" s="28"/>
      <c r="E27" s="28"/>
      <c r="F27" s="28"/>
      <c r="G27" s="28"/>
      <c r="H27" s="28"/>
      <c r="I27" s="28"/>
      <c r="J27" s="27" t="s">
        <v>28</v>
      </c>
      <c r="K27" s="26">
        <f>SUM(K26,K24,K22)</f>
        <v>18</v>
      </c>
    </row>
    <row r="28" spans="3:11" ht="15" customHeight="1" x14ac:dyDescent="0.25">
      <c r="C28" s="68" t="s">
        <v>27</v>
      </c>
      <c r="D28" s="68"/>
      <c r="E28" s="68"/>
      <c r="F28" s="68"/>
      <c r="G28" s="68"/>
      <c r="H28" s="68"/>
      <c r="I28" s="68"/>
      <c r="J28" s="68"/>
      <c r="K28" s="68"/>
    </row>
    <row r="29" spans="3:11" x14ac:dyDescent="0.25">
      <c r="C29" s="23"/>
      <c r="D29" s="23"/>
      <c r="E29" s="23"/>
      <c r="F29" s="1"/>
      <c r="G29" s="1"/>
      <c r="H29" s="1"/>
      <c r="I29" s="1"/>
      <c r="J29" s="1"/>
      <c r="K29" s="1"/>
    </row>
    <row r="30" spans="3:11" ht="23.25" customHeight="1" x14ac:dyDescent="0.25">
      <c r="C30" s="67" t="s">
        <v>26</v>
      </c>
      <c r="D30" s="66"/>
      <c r="E30" s="66"/>
      <c r="F30" s="66"/>
      <c r="G30" s="66"/>
      <c r="H30" s="66"/>
      <c r="I30" s="66"/>
      <c r="J30" s="66"/>
      <c r="K30" s="65"/>
    </row>
    <row r="31" spans="3:11" ht="27" customHeight="1" x14ac:dyDescent="0.25">
      <c r="C31" s="22" t="s">
        <v>25</v>
      </c>
      <c r="D31" s="10" t="s">
        <v>24</v>
      </c>
      <c r="E31" s="12" t="s">
        <v>23</v>
      </c>
      <c r="F31" s="11"/>
      <c r="G31" s="10" t="s">
        <v>22</v>
      </c>
      <c r="H31" s="12" t="s">
        <v>21</v>
      </c>
      <c r="I31" s="11"/>
      <c r="J31" s="21" t="s">
        <v>20</v>
      </c>
      <c r="K31" s="10" t="s">
        <v>19</v>
      </c>
    </row>
    <row r="32" spans="3:11" ht="25.5" customHeight="1" x14ac:dyDescent="0.25">
      <c r="C32" s="6">
        <v>1</v>
      </c>
      <c r="D32" s="6">
        <v>317</v>
      </c>
      <c r="E32" s="20" t="s">
        <v>18</v>
      </c>
      <c r="F32" s="19"/>
      <c r="G32" s="6" t="s">
        <v>14</v>
      </c>
      <c r="H32" s="18">
        <v>46296</v>
      </c>
      <c r="I32" s="17"/>
      <c r="J32" s="16"/>
      <c r="K32" s="15"/>
    </row>
    <row r="33" spans="3:11" ht="25.5" customHeight="1" x14ac:dyDescent="0.25">
      <c r="C33" s="6">
        <v>2</v>
      </c>
      <c r="D33" s="6">
        <v>317</v>
      </c>
      <c r="E33" s="20" t="s">
        <v>17</v>
      </c>
      <c r="F33" s="19"/>
      <c r="G33" s="6" t="s">
        <v>14</v>
      </c>
      <c r="H33" s="18">
        <v>46301</v>
      </c>
      <c r="I33" s="17"/>
      <c r="J33" s="16"/>
      <c r="K33" s="15"/>
    </row>
    <row r="34" spans="3:11" ht="25.5" customHeight="1" x14ac:dyDescent="0.25">
      <c r="C34" s="6">
        <v>3</v>
      </c>
      <c r="D34" s="6">
        <v>317</v>
      </c>
      <c r="E34" s="20" t="s">
        <v>16</v>
      </c>
      <c r="F34" s="19"/>
      <c r="G34" s="6" t="s">
        <v>14</v>
      </c>
      <c r="H34" s="18">
        <v>46310</v>
      </c>
      <c r="I34" s="17"/>
      <c r="J34" s="16"/>
      <c r="K34" s="15"/>
    </row>
    <row r="35" spans="3:11" ht="25.5" customHeight="1" x14ac:dyDescent="0.25">
      <c r="C35" s="6">
        <v>4</v>
      </c>
      <c r="D35" s="6">
        <v>317</v>
      </c>
      <c r="E35" s="20" t="s">
        <v>15</v>
      </c>
      <c r="F35" s="19"/>
      <c r="G35" s="6" t="s">
        <v>14</v>
      </c>
      <c r="H35" s="18">
        <v>46314</v>
      </c>
      <c r="I35" s="17"/>
      <c r="J35" s="16"/>
      <c r="K35" s="15"/>
    </row>
    <row r="36" spans="3:11" ht="23.25" customHeight="1" x14ac:dyDescent="0.25">
      <c r="C36" s="67" t="s">
        <v>13</v>
      </c>
      <c r="D36" s="66"/>
      <c r="E36" s="66"/>
      <c r="F36" s="66"/>
      <c r="G36" s="66"/>
      <c r="H36" s="66"/>
      <c r="I36" s="66"/>
      <c r="J36" s="66"/>
      <c r="K36" s="65"/>
    </row>
    <row r="37" spans="3:11" ht="27" customHeight="1" x14ac:dyDescent="0.25">
      <c r="C37" s="12" t="s">
        <v>12</v>
      </c>
      <c r="D37" s="11"/>
      <c r="E37" s="10" t="s">
        <v>11</v>
      </c>
      <c r="F37" s="12" t="s">
        <v>10</v>
      </c>
      <c r="G37" s="11"/>
      <c r="H37" s="10" t="s">
        <v>9</v>
      </c>
      <c r="I37" s="10" t="s">
        <v>8</v>
      </c>
      <c r="J37" s="10" t="s">
        <v>7</v>
      </c>
      <c r="K37" s="10" t="s">
        <v>6</v>
      </c>
    </row>
    <row r="38" spans="3:11" ht="24.75" customHeight="1" x14ac:dyDescent="0.25">
      <c r="C38" s="8"/>
      <c r="D38" s="7"/>
      <c r="E38" s="9">
        <v>46296</v>
      </c>
      <c r="F38" s="8" t="s">
        <v>5</v>
      </c>
      <c r="G38" s="7"/>
      <c r="H38" s="6" t="s">
        <v>2</v>
      </c>
      <c r="I38" s="6" t="s">
        <v>3</v>
      </c>
      <c r="J38" s="5">
        <v>0.33333333333333331</v>
      </c>
      <c r="K38" s="5">
        <v>0.4201388888888889</v>
      </c>
    </row>
    <row r="39" spans="3:11" ht="24.75" customHeight="1" x14ac:dyDescent="0.25">
      <c r="C39" s="8"/>
      <c r="D39" s="7"/>
      <c r="E39" s="9">
        <v>46315</v>
      </c>
      <c r="F39" s="8" t="s">
        <v>4</v>
      </c>
      <c r="G39" s="7"/>
      <c r="H39" s="6" t="s">
        <v>3</v>
      </c>
      <c r="I39" s="6" t="s">
        <v>2</v>
      </c>
      <c r="J39" s="5">
        <v>0.53125</v>
      </c>
      <c r="K39" s="5">
        <v>0.29166666666666669</v>
      </c>
    </row>
    <row r="40" spans="3:11" x14ac:dyDescent="0.25">
      <c r="C40" s="1"/>
      <c r="D40" s="1"/>
      <c r="E40" s="1"/>
      <c r="F40" s="1"/>
      <c r="G40" s="1"/>
      <c r="H40" s="1"/>
      <c r="I40" s="1"/>
      <c r="J40" s="1"/>
      <c r="K40" s="1"/>
    </row>
    <row r="41" spans="3:11" x14ac:dyDescent="0.25">
      <c r="C41" s="4" t="s">
        <v>1</v>
      </c>
      <c r="D41" s="4"/>
      <c r="E41" s="4"/>
      <c r="F41" s="4"/>
      <c r="G41" s="4"/>
      <c r="H41" s="1"/>
      <c r="I41" s="1"/>
      <c r="J41" s="1"/>
      <c r="K41" s="1"/>
    </row>
    <row r="42" spans="3:11" x14ac:dyDescent="0.25">
      <c r="C42" s="3" t="s">
        <v>0</v>
      </c>
      <c r="D42" s="3"/>
      <c r="E42" s="3"/>
      <c r="F42" s="3"/>
      <c r="G42" s="3"/>
      <c r="H42" s="1"/>
      <c r="I42" s="1"/>
      <c r="J42" s="1"/>
      <c r="K42" s="2"/>
    </row>
    <row r="43" spans="3:11" x14ac:dyDescent="0.25">
      <c r="C43" s="1"/>
      <c r="D43" s="1"/>
      <c r="E43" s="1"/>
      <c r="F43" s="1"/>
      <c r="G43" s="1"/>
      <c r="H43" s="1"/>
      <c r="I43" s="1"/>
      <c r="J43" s="1"/>
      <c r="K43" s="1"/>
    </row>
  </sheetData>
  <mergeCells count="59">
    <mergeCell ref="C2:K2"/>
    <mergeCell ref="C3:K3"/>
    <mergeCell ref="C4:K4"/>
    <mergeCell ref="C5:K5"/>
    <mergeCell ref="E7:F7"/>
    <mergeCell ref="G7:H7"/>
    <mergeCell ref="G8:H8"/>
    <mergeCell ref="E10:F10"/>
    <mergeCell ref="H10:I10"/>
    <mergeCell ref="D12:F12"/>
    <mergeCell ref="G12:H12"/>
    <mergeCell ref="J12:K12"/>
    <mergeCell ref="D13:F13"/>
    <mergeCell ref="G13:H13"/>
    <mergeCell ref="J13:K13"/>
    <mergeCell ref="D14:F14"/>
    <mergeCell ref="G14:H14"/>
    <mergeCell ref="J14:K14"/>
    <mergeCell ref="D17:F17"/>
    <mergeCell ref="G17:H17"/>
    <mergeCell ref="J17:K17"/>
    <mergeCell ref="C18:H18"/>
    <mergeCell ref="I18:K18"/>
    <mergeCell ref="C20:K20"/>
    <mergeCell ref="C21:D21"/>
    <mergeCell ref="G21:H21"/>
    <mergeCell ref="C22:D22"/>
    <mergeCell ref="G22:H22"/>
    <mergeCell ref="C23:K23"/>
    <mergeCell ref="C24:D24"/>
    <mergeCell ref="G24:H24"/>
    <mergeCell ref="H34:I34"/>
    <mergeCell ref="C25:K25"/>
    <mergeCell ref="C26:D26"/>
    <mergeCell ref="G26:H26"/>
    <mergeCell ref="C28:K28"/>
    <mergeCell ref="C30:K30"/>
    <mergeCell ref="E31:F31"/>
    <mergeCell ref="H31:I31"/>
    <mergeCell ref="C36:K36"/>
    <mergeCell ref="C37:D37"/>
    <mergeCell ref="F37:G37"/>
    <mergeCell ref="C38:D38"/>
    <mergeCell ref="F38:G38"/>
    <mergeCell ref="E32:F32"/>
    <mergeCell ref="H32:I32"/>
    <mergeCell ref="E33:F33"/>
    <mergeCell ref="H33:I33"/>
    <mergeCell ref="E34:F34"/>
    <mergeCell ref="C39:D39"/>
    <mergeCell ref="F39:G39"/>
    <mergeCell ref="C41:G41"/>
    <mergeCell ref="C42:G42"/>
    <mergeCell ref="D15:F15"/>
    <mergeCell ref="D16:F16"/>
    <mergeCell ref="G15:H15"/>
    <mergeCell ref="G16:H16"/>
    <mergeCell ref="E35:F35"/>
    <mergeCell ref="H35:I35"/>
  </mergeCells>
  <printOptions horizontalCentered="1" verticalCentered="1"/>
  <pageMargins left="0.25" right="0.25" top="0.5" bottom="0.5" header="0.3" footer="0.3"/>
  <pageSetup paperSize="9" scale="69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953B6-420D-496B-9D80-A52096006FF0}">
  <sheetPr codeName="Sheet31">
    <pageSetUpPr fitToPage="1"/>
  </sheetPr>
  <dimension ref="C1:K43"/>
  <sheetViews>
    <sheetView showGridLines="0" view="pageBreakPreview" topLeftCell="A5" zoomScale="87" zoomScaleNormal="93" zoomScaleSheetLayoutView="72" workbookViewId="0">
      <selection activeCell="C4" sqref="C4:K4"/>
    </sheetView>
  </sheetViews>
  <sheetFormatPr defaultRowHeight="15" x14ac:dyDescent="0.25"/>
  <cols>
    <col min="3" max="3" width="4.42578125" customWidth="1"/>
    <col min="4" max="4" width="10" customWidth="1"/>
    <col min="5" max="5" width="11.5703125" customWidth="1"/>
    <col min="6" max="6" width="33.28515625" customWidth="1"/>
    <col min="7" max="7" width="21.7109375" bestFit="1" customWidth="1"/>
    <col min="8" max="8" width="9.140625" customWidth="1"/>
    <col min="9" max="9" width="15" customWidth="1"/>
    <col min="10" max="10" width="18.7109375" customWidth="1"/>
    <col min="11" max="11" width="17.7109375" customWidth="1"/>
  </cols>
  <sheetData>
    <row r="1" spans="3:11" x14ac:dyDescent="0.25">
      <c r="F1" t="s">
        <v>59</v>
      </c>
    </row>
    <row r="2" spans="3:11" ht="27.75" x14ac:dyDescent="0.35">
      <c r="C2" s="64" t="s">
        <v>58</v>
      </c>
      <c r="D2" s="64"/>
      <c r="E2" s="64"/>
      <c r="F2" s="63"/>
      <c r="G2" s="63"/>
      <c r="H2" s="63"/>
      <c r="I2" s="63"/>
      <c r="J2" s="63"/>
      <c r="K2" s="63"/>
    </row>
    <row r="3" spans="3:11" x14ac:dyDescent="0.25">
      <c r="C3" s="62"/>
      <c r="D3" s="62"/>
      <c r="E3" s="62"/>
      <c r="F3" s="61"/>
      <c r="G3" s="61"/>
      <c r="H3" s="61"/>
      <c r="I3" s="61"/>
      <c r="J3" s="61"/>
      <c r="K3" s="61"/>
    </row>
    <row r="4" spans="3:11" x14ac:dyDescent="0.25">
      <c r="C4" s="62" t="s">
        <v>57</v>
      </c>
      <c r="D4" s="62"/>
      <c r="E4" s="62"/>
      <c r="F4" s="61"/>
      <c r="G4" s="61"/>
      <c r="H4" s="61"/>
      <c r="I4" s="61"/>
      <c r="J4" s="61"/>
      <c r="K4" s="61"/>
    </row>
    <row r="5" spans="3:11" ht="71.45" customHeight="1" thickBot="1" x14ac:dyDescent="0.3">
      <c r="C5" s="60" t="s">
        <v>56</v>
      </c>
      <c r="D5" s="60"/>
      <c r="E5" s="60"/>
      <c r="F5" s="59"/>
      <c r="G5" s="59"/>
      <c r="H5" s="59"/>
      <c r="I5" s="59"/>
      <c r="J5" s="59"/>
      <c r="K5" s="59"/>
    </row>
    <row r="6" spans="3:11" ht="8.4499999999999993" customHeight="1" x14ac:dyDescent="0.25">
      <c r="C6" s="58"/>
      <c r="D6" s="58"/>
      <c r="E6" s="58"/>
      <c r="F6" s="1"/>
      <c r="G6" s="1"/>
      <c r="H6" s="1"/>
      <c r="I6" s="1"/>
      <c r="J6" s="1"/>
      <c r="K6" s="1"/>
    </row>
    <row r="7" spans="3:11" x14ac:dyDescent="0.25">
      <c r="C7" s="50"/>
      <c r="D7" s="50"/>
      <c r="E7" s="57" t="s">
        <v>55</v>
      </c>
      <c r="F7" s="57"/>
      <c r="G7" s="56" t="s">
        <v>54</v>
      </c>
      <c r="H7" s="56"/>
      <c r="I7" s="1"/>
      <c r="J7" s="50"/>
      <c r="K7" s="1"/>
    </row>
    <row r="8" spans="3:11" x14ac:dyDescent="0.25">
      <c r="C8" s="1"/>
      <c r="D8" s="1"/>
      <c r="E8" s="1"/>
      <c r="F8" s="1"/>
      <c r="G8" s="56"/>
      <c r="H8" s="56"/>
      <c r="I8" s="1"/>
      <c r="J8" s="1"/>
      <c r="K8" s="1"/>
    </row>
    <row r="9" spans="3:11" x14ac:dyDescent="0.25">
      <c r="C9" s="1"/>
      <c r="D9" s="1"/>
      <c r="E9" s="1"/>
      <c r="F9" s="1"/>
      <c r="G9" s="1"/>
      <c r="H9" s="50"/>
      <c r="I9" s="1"/>
      <c r="J9" s="1"/>
      <c r="K9" s="1"/>
    </row>
    <row r="10" spans="3:11" ht="21.75" customHeight="1" thickBot="1" x14ac:dyDescent="0.3">
      <c r="C10" s="51"/>
      <c r="D10" s="55" t="s">
        <v>53</v>
      </c>
      <c r="E10" s="54" t="str">
        <f>D13</f>
        <v>MUHAMMAD ASIF/MR</v>
      </c>
      <c r="F10" s="54"/>
      <c r="G10" s="53"/>
      <c r="H10" s="52" t="s">
        <v>52</v>
      </c>
      <c r="I10" s="52"/>
      <c r="J10" s="51"/>
      <c r="K10" s="51"/>
    </row>
    <row r="11" spans="3:11" x14ac:dyDescent="0.25">
      <c r="C11" s="1"/>
      <c r="D11" s="1"/>
      <c r="E11" s="1"/>
      <c r="F11" s="1"/>
      <c r="G11" s="1"/>
      <c r="H11" s="50"/>
      <c r="I11" s="49"/>
      <c r="J11" s="1"/>
      <c r="K11" s="1"/>
    </row>
    <row r="12" spans="3:11" ht="27" customHeight="1" x14ac:dyDescent="0.25">
      <c r="C12" s="22" t="s">
        <v>25</v>
      </c>
      <c r="D12" s="45" t="s">
        <v>51</v>
      </c>
      <c r="E12" s="48"/>
      <c r="F12" s="44"/>
      <c r="G12" s="47" t="s">
        <v>50</v>
      </c>
      <c r="H12" s="46"/>
      <c r="I12" s="22" t="s">
        <v>49</v>
      </c>
      <c r="J12" s="45" t="s">
        <v>48</v>
      </c>
      <c r="K12" s="44"/>
    </row>
    <row r="13" spans="3:11" ht="24.75" customHeight="1" x14ac:dyDescent="0.25">
      <c r="C13" s="15">
        <v>1</v>
      </c>
      <c r="D13" s="20" t="s">
        <v>122</v>
      </c>
      <c r="E13" s="41"/>
      <c r="F13" s="19"/>
      <c r="G13" s="8" t="s">
        <v>121</v>
      </c>
      <c r="H13" s="7"/>
      <c r="I13" s="40"/>
      <c r="J13" s="43"/>
      <c r="K13" s="42"/>
    </row>
    <row r="14" spans="3:11" ht="24.75" customHeight="1" x14ac:dyDescent="0.25">
      <c r="C14" s="15">
        <v>2</v>
      </c>
      <c r="D14" s="20" t="s">
        <v>120</v>
      </c>
      <c r="E14" s="41"/>
      <c r="F14" s="19"/>
      <c r="G14" s="8" t="s">
        <v>119</v>
      </c>
      <c r="H14" s="7"/>
      <c r="I14" s="40"/>
      <c r="J14" s="43"/>
      <c r="K14" s="42"/>
    </row>
    <row r="15" spans="3:11" ht="24.75" customHeight="1" x14ac:dyDescent="0.25">
      <c r="C15" s="15">
        <v>3</v>
      </c>
      <c r="D15" s="20" t="s">
        <v>118</v>
      </c>
      <c r="E15" s="41"/>
      <c r="F15" s="19"/>
      <c r="G15" s="8" t="s">
        <v>117</v>
      </c>
      <c r="H15" s="7"/>
      <c r="I15" s="40"/>
      <c r="J15" s="39"/>
      <c r="K15" s="38"/>
    </row>
    <row r="16" spans="3:11" ht="24.75" customHeight="1" x14ac:dyDescent="0.25">
      <c r="C16" s="15">
        <v>4</v>
      </c>
      <c r="D16" s="20" t="s">
        <v>116</v>
      </c>
      <c r="E16" s="41"/>
      <c r="F16" s="19"/>
      <c r="G16" s="8" t="s">
        <v>115</v>
      </c>
      <c r="H16" s="7"/>
      <c r="I16" s="40"/>
      <c r="J16" s="39"/>
      <c r="K16" s="38"/>
    </row>
    <row r="17" spans="3:11" ht="24.75" customHeight="1" x14ac:dyDescent="0.25">
      <c r="C17" s="15">
        <v>5</v>
      </c>
      <c r="D17" s="20" t="s">
        <v>114</v>
      </c>
      <c r="E17" s="41"/>
      <c r="F17" s="19"/>
      <c r="G17" s="8" t="s">
        <v>113</v>
      </c>
      <c r="H17" s="7"/>
      <c r="I17" s="40"/>
      <c r="J17" s="43"/>
      <c r="K17" s="42"/>
    </row>
    <row r="18" spans="3:11" ht="29.25" customHeight="1" x14ac:dyDescent="0.25">
      <c r="C18" s="69" t="s">
        <v>112</v>
      </c>
      <c r="D18" s="69"/>
      <c r="E18" s="69"/>
      <c r="F18" s="69"/>
      <c r="G18" s="69"/>
      <c r="H18" s="69"/>
      <c r="I18" s="37" t="s">
        <v>97</v>
      </c>
      <c r="J18" s="24"/>
      <c r="K18" s="24"/>
    </row>
    <row r="19" spans="3:11" x14ac:dyDescent="0.25">
      <c r="C19" s="1"/>
      <c r="D19" s="1"/>
      <c r="E19" s="1"/>
      <c r="F19" s="1"/>
      <c r="G19" s="1"/>
      <c r="H19" s="1"/>
      <c r="I19" s="1"/>
      <c r="J19" s="1"/>
      <c r="K19" s="1"/>
    </row>
    <row r="20" spans="3:11" ht="23.25" customHeight="1" x14ac:dyDescent="0.25">
      <c r="C20" s="67" t="s">
        <v>41</v>
      </c>
      <c r="D20" s="66"/>
      <c r="E20" s="66"/>
      <c r="F20" s="66"/>
      <c r="G20" s="66"/>
      <c r="H20" s="66"/>
      <c r="I20" s="66"/>
      <c r="J20" s="66"/>
      <c r="K20" s="65"/>
    </row>
    <row r="21" spans="3:11" ht="27" customHeight="1" x14ac:dyDescent="0.25">
      <c r="C21" s="36" t="s">
        <v>40</v>
      </c>
      <c r="D21" s="35"/>
      <c r="E21" s="34" t="s">
        <v>111</v>
      </c>
      <c r="F21" s="34" t="s">
        <v>38</v>
      </c>
      <c r="G21" s="36" t="s">
        <v>37</v>
      </c>
      <c r="H21" s="35"/>
      <c r="I21" s="34" t="s">
        <v>36</v>
      </c>
      <c r="J21" s="34" t="s">
        <v>35</v>
      </c>
      <c r="K21" s="34" t="s">
        <v>34</v>
      </c>
    </row>
    <row r="22" spans="3:11" ht="22.7" customHeight="1" x14ac:dyDescent="0.25">
      <c r="C22" s="8" t="s">
        <v>29</v>
      </c>
      <c r="D22" s="7"/>
      <c r="E22" s="6">
        <v>139413</v>
      </c>
      <c r="F22" s="15" t="s">
        <v>110</v>
      </c>
      <c r="G22" s="8" t="s">
        <v>109</v>
      </c>
      <c r="H22" s="7"/>
      <c r="I22" s="30">
        <v>46296</v>
      </c>
      <c r="J22" s="30">
        <v>46301</v>
      </c>
      <c r="K22" s="6">
        <f>J22-I22</f>
        <v>5</v>
      </c>
    </row>
    <row r="23" spans="3:11" ht="27" customHeight="1" x14ac:dyDescent="0.25">
      <c r="C23" s="20"/>
      <c r="D23" s="41"/>
      <c r="E23" s="41"/>
      <c r="F23" s="41"/>
      <c r="G23" s="41"/>
      <c r="H23" s="41"/>
      <c r="I23" s="41"/>
      <c r="J23" s="41"/>
      <c r="K23" s="19"/>
    </row>
    <row r="24" spans="3:11" ht="22.7" customHeight="1" x14ac:dyDescent="0.25">
      <c r="C24" s="8" t="s">
        <v>32</v>
      </c>
      <c r="D24" s="7"/>
      <c r="E24" s="6">
        <v>378</v>
      </c>
      <c r="F24" s="15" t="s">
        <v>61</v>
      </c>
      <c r="G24" s="8" t="s">
        <v>109</v>
      </c>
      <c r="H24" s="7"/>
      <c r="I24" s="30">
        <v>46301</v>
      </c>
      <c r="J24" s="30">
        <v>46310</v>
      </c>
      <c r="K24" s="6">
        <f>J24-I24</f>
        <v>9</v>
      </c>
    </row>
    <row r="25" spans="3:11" ht="22.7" customHeight="1" x14ac:dyDescent="0.25">
      <c r="C25" s="20"/>
      <c r="D25" s="41"/>
      <c r="E25" s="41"/>
      <c r="F25" s="41"/>
      <c r="G25" s="41"/>
      <c r="H25" s="41"/>
      <c r="I25" s="41"/>
      <c r="J25" s="41"/>
      <c r="K25" s="19"/>
    </row>
    <row r="26" spans="3:11" ht="22.7" customHeight="1" x14ac:dyDescent="0.25">
      <c r="C26" s="8" t="s">
        <v>29</v>
      </c>
      <c r="D26" s="7"/>
      <c r="E26" s="6">
        <v>139413</v>
      </c>
      <c r="F26" s="15" t="str">
        <f>F22</f>
        <v>LULU TOHEED</v>
      </c>
      <c r="G26" s="8" t="s">
        <v>109</v>
      </c>
      <c r="H26" s="7"/>
      <c r="I26" s="30">
        <v>46310</v>
      </c>
      <c r="J26" s="30">
        <v>46314</v>
      </c>
      <c r="K26" s="6">
        <f>J26-I26</f>
        <v>4</v>
      </c>
    </row>
    <row r="27" spans="3:11" ht="31.5" customHeight="1" x14ac:dyDescent="0.25">
      <c r="C27" s="29"/>
      <c r="D27" s="28"/>
      <c r="E27" s="28"/>
      <c r="F27" s="28"/>
      <c r="G27" s="28"/>
      <c r="H27" s="28"/>
      <c r="I27" s="28"/>
      <c r="J27" s="27" t="s">
        <v>28</v>
      </c>
      <c r="K27" s="26">
        <f>SUM(K26,K24,K22)</f>
        <v>18</v>
      </c>
    </row>
    <row r="28" spans="3:11" ht="15" customHeight="1" x14ac:dyDescent="0.25">
      <c r="C28" s="68" t="s">
        <v>27</v>
      </c>
      <c r="D28" s="68"/>
      <c r="E28" s="68"/>
      <c r="F28" s="68"/>
      <c r="G28" s="68"/>
      <c r="H28" s="68"/>
      <c r="I28" s="68"/>
      <c r="J28" s="68"/>
      <c r="K28" s="68"/>
    </row>
    <row r="29" spans="3:11" x14ac:dyDescent="0.25">
      <c r="C29" s="23"/>
      <c r="D29" s="23"/>
      <c r="E29" s="23"/>
      <c r="F29" s="1"/>
      <c r="G29" s="1"/>
      <c r="H29" s="1"/>
      <c r="I29" s="1"/>
      <c r="J29" s="1"/>
      <c r="K29" s="1"/>
    </row>
    <row r="30" spans="3:11" ht="23.25" customHeight="1" x14ac:dyDescent="0.25">
      <c r="C30" s="67" t="s">
        <v>26</v>
      </c>
      <c r="D30" s="66"/>
      <c r="E30" s="66"/>
      <c r="F30" s="66"/>
      <c r="G30" s="66"/>
      <c r="H30" s="66"/>
      <c r="I30" s="66"/>
      <c r="J30" s="66"/>
      <c r="K30" s="65"/>
    </row>
    <row r="31" spans="3:11" ht="27" customHeight="1" x14ac:dyDescent="0.25">
      <c r="C31" s="22" t="s">
        <v>25</v>
      </c>
      <c r="D31" s="10" t="s">
        <v>24</v>
      </c>
      <c r="E31" s="12" t="s">
        <v>23</v>
      </c>
      <c r="F31" s="11"/>
      <c r="G31" s="10" t="s">
        <v>22</v>
      </c>
      <c r="H31" s="12" t="s">
        <v>21</v>
      </c>
      <c r="I31" s="11"/>
      <c r="J31" s="21" t="s">
        <v>20</v>
      </c>
      <c r="K31" s="10" t="s">
        <v>19</v>
      </c>
    </row>
    <row r="32" spans="3:11" ht="25.5" customHeight="1" x14ac:dyDescent="0.25">
      <c r="C32" s="6">
        <v>1</v>
      </c>
      <c r="D32" s="6">
        <v>317</v>
      </c>
      <c r="E32" s="20" t="s">
        <v>18</v>
      </c>
      <c r="F32" s="19"/>
      <c r="G32" s="6" t="s">
        <v>14</v>
      </c>
      <c r="H32" s="18">
        <v>46296</v>
      </c>
      <c r="I32" s="17"/>
      <c r="J32" s="16"/>
      <c r="K32" s="15"/>
    </row>
    <row r="33" spans="3:11" ht="25.5" customHeight="1" x14ac:dyDescent="0.25">
      <c r="C33" s="6">
        <v>2</v>
      </c>
      <c r="D33" s="6">
        <v>317</v>
      </c>
      <c r="E33" s="20" t="s">
        <v>17</v>
      </c>
      <c r="F33" s="19"/>
      <c r="G33" s="6" t="s">
        <v>14</v>
      </c>
      <c r="H33" s="18">
        <v>46301</v>
      </c>
      <c r="I33" s="17"/>
      <c r="J33" s="16"/>
      <c r="K33" s="15"/>
    </row>
    <row r="34" spans="3:11" ht="25.5" customHeight="1" x14ac:dyDescent="0.25">
      <c r="C34" s="6">
        <v>3</v>
      </c>
      <c r="D34" s="6">
        <v>317</v>
      </c>
      <c r="E34" s="20" t="s">
        <v>16</v>
      </c>
      <c r="F34" s="19"/>
      <c r="G34" s="6" t="s">
        <v>14</v>
      </c>
      <c r="H34" s="18">
        <v>46310</v>
      </c>
      <c r="I34" s="17"/>
      <c r="J34" s="16"/>
      <c r="K34" s="15"/>
    </row>
    <row r="35" spans="3:11" ht="25.5" customHeight="1" x14ac:dyDescent="0.25">
      <c r="C35" s="6">
        <v>4</v>
      </c>
      <c r="D35" s="6">
        <v>317</v>
      </c>
      <c r="E35" s="20" t="s">
        <v>15</v>
      </c>
      <c r="F35" s="19"/>
      <c r="G35" s="6" t="s">
        <v>14</v>
      </c>
      <c r="H35" s="18">
        <v>46314</v>
      </c>
      <c r="I35" s="17"/>
      <c r="J35" s="16"/>
      <c r="K35" s="15"/>
    </row>
    <row r="36" spans="3:11" ht="23.25" customHeight="1" x14ac:dyDescent="0.25">
      <c r="C36" s="67" t="s">
        <v>13</v>
      </c>
      <c r="D36" s="66"/>
      <c r="E36" s="66"/>
      <c r="F36" s="66"/>
      <c r="G36" s="66"/>
      <c r="H36" s="66"/>
      <c r="I36" s="66"/>
      <c r="J36" s="66"/>
      <c r="K36" s="65"/>
    </row>
    <row r="37" spans="3:11" ht="27" customHeight="1" x14ac:dyDescent="0.25">
      <c r="C37" s="12" t="s">
        <v>12</v>
      </c>
      <c r="D37" s="11"/>
      <c r="E37" s="10" t="s">
        <v>11</v>
      </c>
      <c r="F37" s="12" t="s">
        <v>10</v>
      </c>
      <c r="G37" s="11"/>
      <c r="H37" s="10" t="s">
        <v>9</v>
      </c>
      <c r="I37" s="10" t="s">
        <v>8</v>
      </c>
      <c r="J37" s="10" t="s">
        <v>7</v>
      </c>
      <c r="K37" s="10" t="s">
        <v>6</v>
      </c>
    </row>
    <row r="38" spans="3:11" ht="24.75" customHeight="1" x14ac:dyDescent="0.25">
      <c r="C38" s="8"/>
      <c r="D38" s="7"/>
      <c r="E38" s="9">
        <v>46296</v>
      </c>
      <c r="F38" s="8" t="s">
        <v>5</v>
      </c>
      <c r="G38" s="7"/>
      <c r="H38" s="6" t="s">
        <v>2</v>
      </c>
      <c r="I38" s="6" t="s">
        <v>3</v>
      </c>
      <c r="J38" s="5">
        <v>0.33333333333333331</v>
      </c>
      <c r="K38" s="5">
        <v>0.4201388888888889</v>
      </c>
    </row>
    <row r="39" spans="3:11" ht="24.75" customHeight="1" x14ac:dyDescent="0.25">
      <c r="C39" s="8"/>
      <c r="D39" s="7"/>
      <c r="E39" s="9">
        <v>46315</v>
      </c>
      <c r="F39" s="8" t="s">
        <v>4</v>
      </c>
      <c r="G39" s="7"/>
      <c r="H39" s="6" t="s">
        <v>3</v>
      </c>
      <c r="I39" s="6" t="s">
        <v>2</v>
      </c>
      <c r="J39" s="5">
        <v>0.53125</v>
      </c>
      <c r="K39" s="5">
        <v>0.29166666666666669</v>
      </c>
    </row>
    <row r="40" spans="3:11" x14ac:dyDescent="0.25">
      <c r="C40" s="1"/>
      <c r="D40" s="1"/>
      <c r="E40" s="1"/>
      <c r="F40" s="1"/>
      <c r="G40" s="1"/>
      <c r="H40" s="1"/>
      <c r="I40" s="1"/>
      <c r="J40" s="1"/>
      <c r="K40" s="1"/>
    </row>
    <row r="41" spans="3:11" x14ac:dyDescent="0.25">
      <c r="C41" s="4" t="s">
        <v>1</v>
      </c>
      <c r="D41" s="4"/>
      <c r="E41" s="4"/>
      <c r="F41" s="4"/>
      <c r="G41" s="4"/>
      <c r="H41" s="1"/>
      <c r="I41" s="1"/>
      <c r="J41" s="1"/>
      <c r="K41" s="1"/>
    </row>
    <row r="42" spans="3:11" x14ac:dyDescent="0.25">
      <c r="C42" s="3" t="s">
        <v>0</v>
      </c>
      <c r="D42" s="3"/>
      <c r="E42" s="3"/>
      <c r="F42" s="3"/>
      <c r="G42" s="3"/>
      <c r="H42" s="1"/>
      <c r="I42" s="1"/>
      <c r="J42" s="1"/>
      <c r="K42" s="2"/>
    </row>
    <row r="43" spans="3:11" x14ac:dyDescent="0.25">
      <c r="C43" s="1"/>
      <c r="D43" s="1"/>
      <c r="E43" s="1"/>
      <c r="F43" s="1"/>
      <c r="G43" s="1"/>
      <c r="H43" s="1"/>
      <c r="I43" s="1"/>
      <c r="J43" s="1"/>
      <c r="K43" s="1"/>
    </row>
  </sheetData>
  <mergeCells count="59">
    <mergeCell ref="C2:K2"/>
    <mergeCell ref="C3:K3"/>
    <mergeCell ref="C4:K4"/>
    <mergeCell ref="C5:K5"/>
    <mergeCell ref="E7:F7"/>
    <mergeCell ref="G7:H7"/>
    <mergeCell ref="G8:H8"/>
    <mergeCell ref="E10:F10"/>
    <mergeCell ref="H10:I10"/>
    <mergeCell ref="D12:F12"/>
    <mergeCell ref="G12:H12"/>
    <mergeCell ref="J12:K12"/>
    <mergeCell ref="D13:F13"/>
    <mergeCell ref="G13:H13"/>
    <mergeCell ref="J13:K13"/>
    <mergeCell ref="D14:F14"/>
    <mergeCell ref="G14:H14"/>
    <mergeCell ref="J14:K14"/>
    <mergeCell ref="D15:F15"/>
    <mergeCell ref="G15:H15"/>
    <mergeCell ref="D16:F16"/>
    <mergeCell ref="G16:H16"/>
    <mergeCell ref="D17:F17"/>
    <mergeCell ref="G17:H17"/>
    <mergeCell ref="J17:K17"/>
    <mergeCell ref="C18:H18"/>
    <mergeCell ref="I18:K18"/>
    <mergeCell ref="C20:K20"/>
    <mergeCell ref="C21:D21"/>
    <mergeCell ref="G21:H21"/>
    <mergeCell ref="C22:D22"/>
    <mergeCell ref="G22:H22"/>
    <mergeCell ref="C23:K23"/>
    <mergeCell ref="C24:D24"/>
    <mergeCell ref="G24:H24"/>
    <mergeCell ref="C25:K25"/>
    <mergeCell ref="C26:D26"/>
    <mergeCell ref="G26:H26"/>
    <mergeCell ref="C28:K28"/>
    <mergeCell ref="C30:K30"/>
    <mergeCell ref="E31:F31"/>
    <mergeCell ref="H31:I31"/>
    <mergeCell ref="F38:G38"/>
    <mergeCell ref="E32:F32"/>
    <mergeCell ref="H32:I32"/>
    <mergeCell ref="E33:F33"/>
    <mergeCell ref="H33:I33"/>
    <mergeCell ref="E34:F34"/>
    <mergeCell ref="H34:I34"/>
    <mergeCell ref="C39:D39"/>
    <mergeCell ref="F39:G39"/>
    <mergeCell ref="C41:G41"/>
    <mergeCell ref="C42:G42"/>
    <mergeCell ref="E35:F35"/>
    <mergeCell ref="H35:I35"/>
    <mergeCell ref="C36:K36"/>
    <mergeCell ref="C37:D37"/>
    <mergeCell ref="F37:G37"/>
    <mergeCell ref="C38:D38"/>
  </mergeCells>
  <printOptions horizontalCentered="1" verticalCentered="1"/>
  <pageMargins left="0.25" right="0.25" top="0.5" bottom="0.5" header="0.3" footer="0.3"/>
  <pageSetup paperSize="9" scale="69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EACC5-0375-446F-A9A2-07FEEF6B8A1B}">
  <sheetPr codeName="Sheet32">
    <pageSetUpPr fitToPage="1"/>
  </sheetPr>
  <dimension ref="C1:K39"/>
  <sheetViews>
    <sheetView showGridLines="0" view="pageBreakPreview" topLeftCell="A3" zoomScale="87" zoomScaleNormal="93" zoomScaleSheetLayoutView="72" workbookViewId="0">
      <selection activeCell="C4" sqref="C4:K4"/>
    </sheetView>
  </sheetViews>
  <sheetFormatPr defaultRowHeight="15" x14ac:dyDescent="0.25"/>
  <cols>
    <col min="3" max="3" width="4.42578125" customWidth="1"/>
    <col min="4" max="4" width="10" customWidth="1"/>
    <col min="5" max="5" width="11.5703125" customWidth="1"/>
    <col min="6" max="6" width="33.28515625" customWidth="1"/>
    <col min="7" max="7" width="21.7109375" bestFit="1" customWidth="1"/>
    <col min="8" max="8" width="9.140625" customWidth="1"/>
    <col min="9" max="9" width="15" customWidth="1"/>
    <col min="10" max="10" width="18.7109375" customWidth="1"/>
    <col min="11" max="11" width="17.7109375" customWidth="1"/>
  </cols>
  <sheetData>
    <row r="1" spans="3:11" x14ac:dyDescent="0.25">
      <c r="F1" t="s">
        <v>59</v>
      </c>
    </row>
    <row r="2" spans="3:11" ht="27.75" x14ac:dyDescent="0.35">
      <c r="C2" s="64" t="s">
        <v>58</v>
      </c>
      <c r="D2" s="64"/>
      <c r="E2" s="64"/>
      <c r="F2" s="63"/>
      <c r="G2" s="63"/>
      <c r="H2" s="63"/>
      <c r="I2" s="63"/>
      <c r="J2" s="63"/>
      <c r="K2" s="63"/>
    </row>
    <row r="3" spans="3:11" x14ac:dyDescent="0.25">
      <c r="C3" s="62"/>
      <c r="D3" s="62"/>
      <c r="E3" s="62"/>
      <c r="F3" s="61"/>
      <c r="G3" s="61"/>
      <c r="H3" s="61"/>
      <c r="I3" s="61"/>
      <c r="J3" s="61"/>
      <c r="K3" s="61"/>
    </row>
    <row r="4" spans="3:11" x14ac:dyDescent="0.25">
      <c r="C4" s="62" t="s">
        <v>57</v>
      </c>
      <c r="D4" s="62"/>
      <c r="E4" s="62"/>
      <c r="F4" s="61"/>
      <c r="G4" s="61"/>
      <c r="H4" s="61"/>
      <c r="I4" s="61"/>
      <c r="J4" s="61"/>
      <c r="K4" s="61"/>
    </row>
    <row r="5" spans="3:11" ht="71.45" customHeight="1" thickBot="1" x14ac:dyDescent="0.3">
      <c r="C5" s="60" t="s">
        <v>56</v>
      </c>
      <c r="D5" s="60"/>
      <c r="E5" s="60"/>
      <c r="F5" s="59"/>
      <c r="G5" s="59"/>
      <c r="H5" s="59"/>
      <c r="I5" s="59"/>
      <c r="J5" s="59"/>
      <c r="K5" s="59"/>
    </row>
    <row r="6" spans="3:11" ht="8.4499999999999993" customHeight="1" x14ac:dyDescent="0.25">
      <c r="C6" s="58"/>
      <c r="D6" s="58"/>
      <c r="E6" s="58"/>
      <c r="F6" s="1"/>
      <c r="G6" s="1"/>
      <c r="H6" s="1"/>
      <c r="I6" s="1"/>
      <c r="J6" s="1"/>
      <c r="K6" s="1"/>
    </row>
    <row r="7" spans="3:11" x14ac:dyDescent="0.25">
      <c r="C7" s="50"/>
      <c r="D7" s="50"/>
      <c r="E7" s="57" t="s">
        <v>55</v>
      </c>
      <c r="F7" s="57"/>
      <c r="G7" s="56" t="s">
        <v>54</v>
      </c>
      <c r="H7" s="56"/>
      <c r="I7" s="1"/>
      <c r="J7" s="50"/>
      <c r="K7" s="1"/>
    </row>
    <row r="8" spans="3:11" x14ac:dyDescent="0.25">
      <c r="C8" s="1"/>
      <c r="D8" s="1"/>
      <c r="E8" s="1"/>
      <c r="F8" s="1"/>
      <c r="G8" s="56"/>
      <c r="H8" s="56"/>
      <c r="I8" s="1"/>
      <c r="J8" s="1"/>
      <c r="K8" s="1"/>
    </row>
    <row r="9" spans="3:11" x14ac:dyDescent="0.25">
      <c r="C9" s="1"/>
      <c r="D9" s="1"/>
      <c r="E9" s="1"/>
      <c r="F9" s="1"/>
      <c r="G9" s="1"/>
      <c r="H9" s="50"/>
      <c r="I9" s="1"/>
      <c r="J9" s="1"/>
      <c r="K9" s="1"/>
    </row>
    <row r="10" spans="3:11" ht="21.75" customHeight="1" thickBot="1" x14ac:dyDescent="0.3">
      <c r="C10" s="51"/>
      <c r="D10" s="55" t="s">
        <v>53</v>
      </c>
      <c r="E10" s="54" t="str">
        <f>D13</f>
        <v>SAFWAN ALI KHAN/MR</v>
      </c>
      <c r="F10" s="54"/>
      <c r="G10" s="53"/>
      <c r="H10" s="52" t="s">
        <v>52</v>
      </c>
      <c r="I10" s="52"/>
      <c r="J10" s="51"/>
      <c r="K10" s="51"/>
    </row>
    <row r="11" spans="3:11" x14ac:dyDescent="0.25">
      <c r="C11" s="1"/>
      <c r="D11" s="1"/>
      <c r="E11" s="1"/>
      <c r="F11" s="1"/>
      <c r="G11" s="1"/>
      <c r="H11" s="50"/>
      <c r="I11" s="49"/>
      <c r="J11" s="1"/>
      <c r="K11" s="1"/>
    </row>
    <row r="12" spans="3:11" ht="27" customHeight="1" x14ac:dyDescent="0.25">
      <c r="C12" s="22" t="s">
        <v>25</v>
      </c>
      <c r="D12" s="45" t="s">
        <v>51</v>
      </c>
      <c r="E12" s="48"/>
      <c r="F12" s="44"/>
      <c r="G12" s="47" t="s">
        <v>50</v>
      </c>
      <c r="H12" s="46"/>
      <c r="I12" s="22" t="s">
        <v>49</v>
      </c>
      <c r="J12" s="45" t="s">
        <v>48</v>
      </c>
      <c r="K12" s="44"/>
    </row>
    <row r="13" spans="3:11" ht="24.75" customHeight="1" x14ac:dyDescent="0.25">
      <c r="C13" s="15">
        <v>1</v>
      </c>
      <c r="D13" s="20" t="s">
        <v>127</v>
      </c>
      <c r="E13" s="41"/>
      <c r="F13" s="19"/>
      <c r="G13" s="8" t="s">
        <v>126</v>
      </c>
      <c r="H13" s="7"/>
      <c r="I13" s="40"/>
      <c r="J13" s="43"/>
      <c r="K13" s="42"/>
    </row>
    <row r="14" spans="3:11" ht="29.25" customHeight="1" x14ac:dyDescent="0.25">
      <c r="C14" s="69" t="s">
        <v>89</v>
      </c>
      <c r="D14" s="69"/>
      <c r="E14" s="69"/>
      <c r="F14" s="69"/>
      <c r="G14" s="69"/>
      <c r="H14" s="69"/>
      <c r="I14" s="37" t="s">
        <v>63</v>
      </c>
      <c r="J14" s="24"/>
      <c r="K14" s="24"/>
    </row>
    <row r="15" spans="3:11" x14ac:dyDescent="0.25">
      <c r="C15" s="1"/>
      <c r="D15" s="1"/>
      <c r="E15" s="1"/>
      <c r="F15" s="1"/>
      <c r="G15" s="1"/>
      <c r="H15" s="1"/>
      <c r="I15" s="1"/>
      <c r="J15" s="1"/>
      <c r="K15" s="1"/>
    </row>
    <row r="16" spans="3:11" ht="23.25" customHeight="1" x14ac:dyDescent="0.25">
      <c r="C16" s="67" t="s">
        <v>41</v>
      </c>
      <c r="D16" s="66"/>
      <c r="E16" s="66"/>
      <c r="F16" s="66"/>
      <c r="G16" s="66"/>
      <c r="H16" s="66"/>
      <c r="I16" s="66"/>
      <c r="J16" s="66"/>
      <c r="K16" s="65"/>
    </row>
    <row r="17" spans="3:11" ht="27" customHeight="1" x14ac:dyDescent="0.25">
      <c r="C17" s="36" t="s">
        <v>40</v>
      </c>
      <c r="D17" s="35"/>
      <c r="E17" s="34" t="s">
        <v>39</v>
      </c>
      <c r="F17" s="34" t="s">
        <v>38</v>
      </c>
      <c r="G17" s="36" t="s">
        <v>37</v>
      </c>
      <c r="H17" s="35"/>
      <c r="I17" s="34" t="s">
        <v>36</v>
      </c>
      <c r="J17" s="34" t="s">
        <v>35</v>
      </c>
      <c r="K17" s="34" t="s">
        <v>34</v>
      </c>
    </row>
    <row r="18" spans="3:11" ht="22.7" customHeight="1" x14ac:dyDescent="0.25">
      <c r="C18" s="8" t="s">
        <v>29</v>
      </c>
      <c r="D18" s="7"/>
      <c r="E18" s="6">
        <v>378</v>
      </c>
      <c r="F18" s="15" t="s">
        <v>125</v>
      </c>
      <c r="G18" s="8" t="s">
        <v>123</v>
      </c>
      <c r="H18" s="7"/>
      <c r="I18" s="30">
        <v>46296</v>
      </c>
      <c r="J18" s="30">
        <v>46301</v>
      </c>
      <c r="K18" s="6">
        <f>J18-I18</f>
        <v>5</v>
      </c>
    </row>
    <row r="19" spans="3:11" ht="27" customHeight="1" x14ac:dyDescent="0.25">
      <c r="C19" s="20"/>
      <c r="D19" s="41"/>
      <c r="E19" s="41"/>
      <c r="F19" s="41"/>
      <c r="G19" s="41"/>
      <c r="H19" s="41"/>
      <c r="I19" s="41"/>
      <c r="J19" s="41"/>
      <c r="K19" s="19"/>
    </row>
    <row r="20" spans="3:11" ht="22.7" customHeight="1" x14ac:dyDescent="0.25">
      <c r="C20" s="8" t="s">
        <v>32</v>
      </c>
      <c r="D20" s="7"/>
      <c r="E20" s="6">
        <v>378</v>
      </c>
      <c r="F20" s="15" t="s">
        <v>124</v>
      </c>
      <c r="G20" s="8" t="s">
        <v>123</v>
      </c>
      <c r="H20" s="7"/>
      <c r="I20" s="30">
        <v>46301</v>
      </c>
      <c r="J20" s="30">
        <v>46308</v>
      </c>
      <c r="K20" s="6">
        <f>J20-I20</f>
        <v>7</v>
      </c>
    </row>
    <row r="21" spans="3:11" ht="22.7" customHeight="1" x14ac:dyDescent="0.25">
      <c r="C21" s="20"/>
      <c r="D21" s="41"/>
      <c r="E21" s="41"/>
      <c r="F21" s="41"/>
      <c r="G21" s="41"/>
      <c r="H21" s="41"/>
      <c r="I21" s="41"/>
      <c r="J21" s="41"/>
      <c r="K21" s="19"/>
    </row>
    <row r="22" spans="3:11" ht="22.7" customHeight="1" x14ac:dyDescent="0.25">
      <c r="C22" s="8" t="s">
        <v>29</v>
      </c>
      <c r="D22" s="7"/>
      <c r="E22" s="31">
        <v>378</v>
      </c>
      <c r="F22" s="15" t="str">
        <f>F18</f>
        <v>DURRAT UL AKHYAR</v>
      </c>
      <c r="G22" s="8" t="s">
        <v>123</v>
      </c>
      <c r="H22" s="7"/>
      <c r="I22" s="30">
        <v>46308</v>
      </c>
      <c r="J22" s="30">
        <v>46315</v>
      </c>
      <c r="K22" s="6">
        <f>J22-I22</f>
        <v>7</v>
      </c>
    </row>
    <row r="23" spans="3:11" ht="31.5" customHeight="1" x14ac:dyDescent="0.25">
      <c r="C23" s="29"/>
      <c r="D23" s="28"/>
      <c r="E23" s="28"/>
      <c r="F23" s="28"/>
      <c r="G23" s="28"/>
      <c r="H23" s="28"/>
      <c r="I23" s="28"/>
      <c r="J23" s="27" t="s">
        <v>28</v>
      </c>
      <c r="K23" s="26">
        <f>SUM(K22,K20,K18)</f>
        <v>19</v>
      </c>
    </row>
    <row r="24" spans="3:11" ht="15" customHeight="1" x14ac:dyDescent="0.25">
      <c r="C24" s="68" t="s">
        <v>27</v>
      </c>
      <c r="D24" s="68"/>
      <c r="E24" s="68"/>
      <c r="F24" s="68"/>
      <c r="G24" s="68"/>
      <c r="H24" s="68"/>
      <c r="I24" s="68"/>
      <c r="J24" s="68"/>
      <c r="K24" s="68"/>
    </row>
    <row r="25" spans="3:11" x14ac:dyDescent="0.25">
      <c r="C25" s="23"/>
      <c r="D25" s="23"/>
      <c r="E25" s="23"/>
      <c r="F25" s="1"/>
      <c r="G25" s="1"/>
      <c r="H25" s="1"/>
      <c r="I25" s="1"/>
      <c r="J25" s="1"/>
      <c r="K25" s="1"/>
    </row>
    <row r="26" spans="3:11" ht="23.25" customHeight="1" x14ac:dyDescent="0.25">
      <c r="C26" s="67" t="s">
        <v>26</v>
      </c>
      <c r="D26" s="66"/>
      <c r="E26" s="66"/>
      <c r="F26" s="66"/>
      <c r="G26" s="66"/>
      <c r="H26" s="66"/>
      <c r="I26" s="66"/>
      <c r="J26" s="66"/>
      <c r="K26" s="65"/>
    </row>
    <row r="27" spans="3:11" ht="27" customHeight="1" x14ac:dyDescent="0.25">
      <c r="C27" s="22" t="s">
        <v>25</v>
      </c>
      <c r="D27" s="10" t="s">
        <v>24</v>
      </c>
      <c r="E27" s="12" t="s">
        <v>23</v>
      </c>
      <c r="F27" s="11"/>
      <c r="G27" s="10" t="s">
        <v>22</v>
      </c>
      <c r="H27" s="12" t="s">
        <v>21</v>
      </c>
      <c r="I27" s="11"/>
      <c r="J27" s="21" t="s">
        <v>20</v>
      </c>
      <c r="K27" s="10" t="s">
        <v>19</v>
      </c>
    </row>
    <row r="28" spans="3:11" ht="25.5" customHeight="1" x14ac:dyDescent="0.25">
      <c r="C28" s="6">
        <v>1</v>
      </c>
      <c r="D28" s="6">
        <v>317</v>
      </c>
      <c r="E28" s="20" t="s">
        <v>18</v>
      </c>
      <c r="F28" s="19"/>
      <c r="G28" s="6" t="s">
        <v>14</v>
      </c>
      <c r="H28" s="18">
        <v>46296</v>
      </c>
      <c r="I28" s="17"/>
      <c r="J28" s="16"/>
      <c r="K28" s="15"/>
    </row>
    <row r="29" spans="3:11" ht="25.5" customHeight="1" x14ac:dyDescent="0.25">
      <c r="C29" s="6">
        <v>2</v>
      </c>
      <c r="D29" s="6">
        <v>317</v>
      </c>
      <c r="E29" s="20" t="s">
        <v>17</v>
      </c>
      <c r="F29" s="19"/>
      <c r="G29" s="6" t="s">
        <v>14</v>
      </c>
      <c r="H29" s="18">
        <v>46301</v>
      </c>
      <c r="I29" s="17"/>
      <c r="J29" s="16"/>
      <c r="K29" s="15"/>
    </row>
    <row r="30" spans="3:11" ht="25.5" customHeight="1" x14ac:dyDescent="0.25">
      <c r="C30" s="6">
        <v>3</v>
      </c>
      <c r="D30" s="6">
        <v>317</v>
      </c>
      <c r="E30" s="20" t="s">
        <v>16</v>
      </c>
      <c r="F30" s="19"/>
      <c r="G30" s="6" t="s">
        <v>14</v>
      </c>
      <c r="H30" s="18">
        <v>46308</v>
      </c>
      <c r="I30" s="17"/>
      <c r="J30" s="16"/>
      <c r="K30" s="15"/>
    </row>
    <row r="31" spans="3:11" ht="25.5" customHeight="1" x14ac:dyDescent="0.25">
      <c r="C31" s="6">
        <v>4</v>
      </c>
      <c r="D31" s="6">
        <v>317</v>
      </c>
      <c r="E31" s="20" t="s">
        <v>15</v>
      </c>
      <c r="F31" s="19"/>
      <c r="G31" s="6" t="s">
        <v>14</v>
      </c>
      <c r="H31" s="18">
        <v>46315</v>
      </c>
      <c r="I31" s="17"/>
      <c r="J31" s="16"/>
      <c r="K31" s="15"/>
    </row>
    <row r="32" spans="3:11" ht="23.25" customHeight="1" x14ac:dyDescent="0.25">
      <c r="C32" s="67" t="s">
        <v>13</v>
      </c>
      <c r="D32" s="66"/>
      <c r="E32" s="66"/>
      <c r="F32" s="66"/>
      <c r="G32" s="66"/>
      <c r="H32" s="66"/>
      <c r="I32" s="66"/>
      <c r="J32" s="66"/>
      <c r="K32" s="65"/>
    </row>
    <row r="33" spans="3:11" ht="27" customHeight="1" x14ac:dyDescent="0.25">
      <c r="C33" s="12" t="s">
        <v>12</v>
      </c>
      <c r="D33" s="11"/>
      <c r="E33" s="10" t="s">
        <v>11</v>
      </c>
      <c r="F33" s="12" t="s">
        <v>10</v>
      </c>
      <c r="G33" s="11"/>
      <c r="H33" s="10" t="s">
        <v>9</v>
      </c>
      <c r="I33" s="10" t="s">
        <v>8</v>
      </c>
      <c r="J33" s="10" t="s">
        <v>7</v>
      </c>
      <c r="K33" s="10" t="s">
        <v>6</v>
      </c>
    </row>
    <row r="34" spans="3:11" ht="24.75" customHeight="1" x14ac:dyDescent="0.25">
      <c r="C34" s="8"/>
      <c r="D34" s="7"/>
      <c r="E34" s="9">
        <v>46296</v>
      </c>
      <c r="F34" s="8" t="s">
        <v>5</v>
      </c>
      <c r="G34" s="7"/>
      <c r="H34" s="6" t="s">
        <v>2</v>
      </c>
      <c r="I34" s="6" t="s">
        <v>3</v>
      </c>
      <c r="J34" s="5">
        <v>0.33333333333333331</v>
      </c>
      <c r="K34" s="5">
        <v>0.4201388888888889</v>
      </c>
    </row>
    <row r="35" spans="3:11" ht="24.75" customHeight="1" x14ac:dyDescent="0.25">
      <c r="C35" s="8"/>
      <c r="D35" s="7"/>
      <c r="E35" s="9">
        <v>46315</v>
      </c>
      <c r="F35" s="8" t="s">
        <v>4</v>
      </c>
      <c r="G35" s="7"/>
      <c r="H35" s="6" t="s">
        <v>3</v>
      </c>
      <c r="I35" s="6" t="s">
        <v>2</v>
      </c>
      <c r="J35" s="5">
        <v>0.53125</v>
      </c>
      <c r="K35" s="5">
        <v>0.29166666666666669</v>
      </c>
    </row>
    <row r="36" spans="3:11" x14ac:dyDescent="0.25">
      <c r="C36" s="1"/>
      <c r="D36" s="1"/>
      <c r="E36" s="1"/>
      <c r="F36" s="1"/>
      <c r="G36" s="1"/>
      <c r="H36" s="1"/>
      <c r="I36" s="1"/>
      <c r="J36" s="1"/>
      <c r="K36" s="1"/>
    </row>
    <row r="37" spans="3:11" x14ac:dyDescent="0.25">
      <c r="C37" s="4" t="s">
        <v>1</v>
      </c>
      <c r="D37" s="4"/>
      <c r="E37" s="4"/>
      <c r="F37" s="4"/>
      <c r="G37" s="4"/>
      <c r="H37" s="1"/>
      <c r="I37" s="1"/>
      <c r="J37" s="1"/>
      <c r="K37" s="1"/>
    </row>
    <row r="38" spans="3:11" x14ac:dyDescent="0.25">
      <c r="C38" s="3" t="s">
        <v>0</v>
      </c>
      <c r="D38" s="3"/>
      <c r="E38" s="3"/>
      <c r="F38" s="3"/>
      <c r="G38" s="3"/>
      <c r="H38" s="1"/>
      <c r="I38" s="1"/>
      <c r="J38" s="1"/>
      <c r="K38" s="2"/>
    </row>
    <row r="39" spans="3:11" x14ac:dyDescent="0.25">
      <c r="C39" s="1"/>
      <c r="D39" s="1"/>
      <c r="E39" s="1"/>
      <c r="F39" s="1"/>
      <c r="G39" s="1"/>
      <c r="H39" s="1"/>
      <c r="I39" s="1"/>
      <c r="J39" s="1"/>
      <c r="K39" s="1"/>
    </row>
  </sheetData>
  <mergeCells count="49">
    <mergeCell ref="C2:K2"/>
    <mergeCell ref="C3:K3"/>
    <mergeCell ref="C4:K4"/>
    <mergeCell ref="C5:K5"/>
    <mergeCell ref="E7:F7"/>
    <mergeCell ref="G7:H7"/>
    <mergeCell ref="G8:H8"/>
    <mergeCell ref="E10:F10"/>
    <mergeCell ref="H10:I10"/>
    <mergeCell ref="D12:F12"/>
    <mergeCell ref="G12:H12"/>
    <mergeCell ref="J12:K12"/>
    <mergeCell ref="C14:H14"/>
    <mergeCell ref="I14:K14"/>
    <mergeCell ref="C16:K16"/>
    <mergeCell ref="C17:D17"/>
    <mergeCell ref="G17:H17"/>
    <mergeCell ref="D13:F13"/>
    <mergeCell ref="G13:H13"/>
    <mergeCell ref="J13:K13"/>
    <mergeCell ref="C18:D18"/>
    <mergeCell ref="G18:H18"/>
    <mergeCell ref="C19:K19"/>
    <mergeCell ref="C20:D20"/>
    <mergeCell ref="G20:H20"/>
    <mergeCell ref="C21:K21"/>
    <mergeCell ref="C22:D22"/>
    <mergeCell ref="G22:H22"/>
    <mergeCell ref="C24:K24"/>
    <mergeCell ref="C26:K26"/>
    <mergeCell ref="E27:F27"/>
    <mergeCell ref="H27:I27"/>
    <mergeCell ref="F34:G34"/>
    <mergeCell ref="E28:F28"/>
    <mergeCell ref="H28:I28"/>
    <mergeCell ref="E29:F29"/>
    <mergeCell ref="H29:I29"/>
    <mergeCell ref="E30:F30"/>
    <mergeCell ref="H30:I30"/>
    <mergeCell ref="C35:D35"/>
    <mergeCell ref="F35:G35"/>
    <mergeCell ref="C37:G37"/>
    <mergeCell ref="C38:G38"/>
    <mergeCell ref="E31:F31"/>
    <mergeCell ref="H31:I31"/>
    <mergeCell ref="C32:K32"/>
    <mergeCell ref="C33:D33"/>
    <mergeCell ref="F33:G33"/>
    <mergeCell ref="C34:D34"/>
  </mergeCells>
  <printOptions horizontalCentered="1" verticalCentered="1"/>
  <pageMargins left="0.25" right="0.25" top="0.5" bottom="0.5" header="0.3" footer="0.3"/>
  <pageSetup paperSize="9" scale="6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12</vt:i4>
      </vt:variant>
    </vt:vector>
  </HeadingPairs>
  <TitlesOfParts>
    <vt:vector size="25" baseType="lpstr">
      <vt:lpstr>Sheet1</vt:lpstr>
      <vt:lpstr>ABDUL KARIM (1ST OCT)</vt:lpstr>
      <vt:lpstr>Tahir Begum</vt:lpstr>
      <vt:lpstr>Tahir Begum (2)</vt:lpstr>
      <vt:lpstr>Tahir Begum (3)</vt:lpstr>
      <vt:lpstr>Tahir Begum (4)</vt:lpstr>
      <vt:lpstr>Tahir Begum (5)</vt:lpstr>
      <vt:lpstr>Tahir Begum (6)</vt:lpstr>
      <vt:lpstr>Tahir Begum (7)</vt:lpstr>
      <vt:lpstr>Tahir Begum (8)</vt:lpstr>
      <vt:lpstr>Tahir Begum (9)</vt:lpstr>
      <vt:lpstr>Tahir Begum (10)</vt:lpstr>
      <vt:lpstr>Tahir Begum (11)</vt:lpstr>
      <vt:lpstr>'ABDUL KARIM (1ST OCT)'!Print_Area</vt:lpstr>
      <vt:lpstr>'Tahir Begum'!Print_Area</vt:lpstr>
      <vt:lpstr>'Tahir Begum (10)'!Print_Area</vt:lpstr>
      <vt:lpstr>'Tahir Begum (11)'!Print_Area</vt:lpstr>
      <vt:lpstr>'Tahir Begum (2)'!Print_Area</vt:lpstr>
      <vt:lpstr>'Tahir Begum (3)'!Print_Area</vt:lpstr>
      <vt:lpstr>'Tahir Begum (4)'!Print_Area</vt:lpstr>
      <vt:lpstr>'Tahir Begum (5)'!Print_Area</vt:lpstr>
      <vt:lpstr>'Tahir Begum (6)'!Print_Area</vt:lpstr>
      <vt:lpstr>'Tahir Begum (7)'!Print_Area</vt:lpstr>
      <vt:lpstr>'Tahir Begum (8)'!Print_Area</vt:lpstr>
      <vt:lpstr>'Tahir Begum (9)'!Print_Area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Madni Memon</dc:creator>
  <cp:lastModifiedBy>Madni Memon</cp:lastModifiedBy>
  <cp:lastPrinted>2026-09-27T01:18:45Z</cp:lastPrinted>
  <dcterms:created xsi:type="dcterms:W3CDTF">2026-09-27T01:17:58Z</dcterms:created>
  <dcterms:modified xsi:type="dcterms:W3CDTF">2026-09-27T01:20:03Z</dcterms:modified>
</cp:coreProperties>
</file>